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30" windowHeight="11055"/>
  </bookViews>
  <sheets>
    <sheet name="Feuil2" sheetId="2" r:id="rId1"/>
    <sheet name="Feuil3" sheetId="3" r:id="rId2"/>
  </sheets>
  <definedNames>
    <definedName name="_xlnm._FilterDatabase" localSheetId="0" hidden="1">Feuil2!$A$3:$P$121</definedName>
  </definedNames>
  <calcPr calcId="145621"/>
</workbook>
</file>

<file path=xl/calcChain.xml><?xml version="1.0" encoding="utf-8"?>
<calcChain xmlns="http://schemas.openxmlformats.org/spreadsheetml/2006/main">
  <c r="O28" i="2" l="1"/>
  <c r="L28" i="2"/>
  <c r="O114" i="2"/>
  <c r="L114" i="2"/>
  <c r="O115" i="2"/>
  <c r="L115" i="2"/>
  <c r="O108" i="2"/>
  <c r="L108" i="2"/>
  <c r="O101" i="2"/>
  <c r="L101" i="2"/>
  <c r="O77" i="2"/>
  <c r="L77" i="2"/>
  <c r="O76" i="2"/>
  <c r="L76" i="2"/>
  <c r="O48" i="2"/>
  <c r="L48" i="2"/>
  <c r="O44" i="2"/>
  <c r="L44" i="2"/>
  <c r="O10" i="2"/>
  <c r="L10" i="2"/>
  <c r="O8" i="2"/>
  <c r="L8" i="2"/>
  <c r="O59" i="2"/>
  <c r="L59" i="2"/>
  <c r="O67" i="2"/>
  <c r="L67" i="2"/>
  <c r="O50" i="2"/>
  <c r="L50" i="2"/>
  <c r="O22" i="2"/>
  <c r="L22" i="2"/>
  <c r="O111" i="2"/>
  <c r="L111" i="2"/>
  <c r="O42" i="2"/>
  <c r="L42" i="2"/>
  <c r="O11" i="2"/>
  <c r="L11" i="2"/>
  <c r="O40" i="2"/>
  <c r="L40" i="2"/>
  <c r="O78" i="2"/>
  <c r="L78" i="2"/>
  <c r="O32" i="2"/>
  <c r="L32" i="2"/>
  <c r="O24" i="2"/>
  <c r="L24" i="2"/>
  <c r="O6" i="2"/>
  <c r="L6" i="2"/>
  <c r="O120" i="2"/>
  <c r="L120" i="2"/>
  <c r="O104" i="2"/>
  <c r="L104" i="2"/>
  <c r="O107" i="2"/>
  <c r="L107" i="2"/>
  <c r="O34" i="2"/>
  <c r="L34" i="2"/>
  <c r="O112" i="2"/>
  <c r="L112" i="2"/>
  <c r="O93" i="2"/>
  <c r="L93" i="2"/>
  <c r="O20" i="2"/>
  <c r="L20" i="2"/>
  <c r="O72" i="2"/>
  <c r="L72" i="2"/>
  <c r="O97" i="2"/>
  <c r="L97" i="2"/>
  <c r="O87" i="2"/>
  <c r="L87" i="2"/>
  <c r="O39" i="2"/>
  <c r="L39" i="2"/>
  <c r="O35" i="2"/>
  <c r="L35" i="2"/>
  <c r="O26" i="2"/>
  <c r="L26" i="2"/>
  <c r="O31" i="2"/>
  <c r="L31" i="2"/>
  <c r="O23" i="2"/>
  <c r="L23" i="2"/>
  <c r="O61" i="2"/>
  <c r="L61" i="2"/>
  <c r="O102" i="2"/>
  <c r="L102" i="2"/>
  <c r="O58" i="2"/>
  <c r="L58" i="2"/>
  <c r="O88" i="2"/>
  <c r="L88" i="2"/>
  <c r="O14" i="2"/>
  <c r="L14" i="2"/>
  <c r="O37" i="2"/>
  <c r="L37" i="2"/>
  <c r="O5" i="2"/>
  <c r="L5" i="2"/>
  <c r="O81" i="2"/>
  <c r="L81" i="2"/>
  <c r="O96" i="2"/>
  <c r="L96" i="2"/>
  <c r="O19" i="2"/>
  <c r="L19" i="2"/>
  <c r="O17" i="2"/>
  <c r="L17" i="2"/>
  <c r="O80" i="2"/>
  <c r="L80" i="2"/>
  <c r="O71" i="2"/>
  <c r="L71" i="2"/>
  <c r="O73" i="2"/>
  <c r="L73" i="2"/>
  <c r="O18" i="2"/>
  <c r="L18" i="2"/>
  <c r="O89" i="2"/>
  <c r="L89" i="2"/>
  <c r="O12" i="2"/>
  <c r="L12" i="2"/>
  <c r="O95" i="2"/>
  <c r="L95" i="2"/>
  <c r="O82" i="2"/>
  <c r="L82" i="2"/>
  <c r="O99" i="2"/>
  <c r="L99" i="2"/>
  <c r="O15" i="2"/>
  <c r="L15" i="2"/>
  <c r="O103" i="2"/>
  <c r="L103" i="2"/>
  <c r="O9" i="2"/>
  <c r="L9" i="2"/>
  <c r="O119" i="2"/>
  <c r="L119" i="2"/>
  <c r="O45" i="2"/>
  <c r="L45" i="2"/>
  <c r="O49" i="2"/>
  <c r="L49" i="2"/>
  <c r="O33" i="2"/>
  <c r="L33" i="2"/>
  <c r="O64" i="2"/>
  <c r="L64" i="2"/>
  <c r="O36" i="2"/>
  <c r="L36" i="2"/>
  <c r="O29" i="2"/>
  <c r="L29" i="2"/>
  <c r="O66" i="2"/>
  <c r="L66" i="2"/>
  <c r="O4" i="2"/>
  <c r="L4" i="2"/>
  <c r="O43" i="2"/>
  <c r="L43" i="2"/>
  <c r="O52" i="2"/>
  <c r="L52" i="2"/>
  <c r="O30" i="2"/>
  <c r="L30" i="2"/>
  <c r="O94" i="2"/>
  <c r="L94" i="2"/>
  <c r="O56" i="2"/>
  <c r="L56" i="2"/>
  <c r="O84" i="2"/>
  <c r="L84" i="2"/>
  <c r="O41" i="2"/>
  <c r="L41" i="2"/>
  <c r="O60" i="2"/>
  <c r="L60" i="2"/>
  <c r="O54" i="2"/>
  <c r="L54" i="2"/>
  <c r="O13" i="2"/>
  <c r="L13" i="2"/>
  <c r="O69" i="2"/>
  <c r="L69" i="2"/>
  <c r="O75" i="2"/>
  <c r="L75" i="2"/>
  <c r="O16" i="2"/>
  <c r="L16" i="2"/>
  <c r="O70" i="2"/>
  <c r="L70" i="2"/>
  <c r="O98" i="2"/>
  <c r="L98" i="2"/>
  <c r="O27" i="2"/>
  <c r="L27" i="2"/>
  <c r="O57" i="2"/>
  <c r="L57" i="2"/>
  <c r="O91" i="2"/>
  <c r="L91" i="2"/>
  <c r="O63" i="2"/>
  <c r="L63" i="2"/>
  <c r="O47" i="2"/>
  <c r="L47" i="2"/>
  <c r="O105" i="2"/>
  <c r="L105" i="2"/>
  <c r="O65" i="2"/>
  <c r="L65" i="2"/>
  <c r="O121" i="2"/>
  <c r="L121" i="2"/>
  <c r="O68" i="2"/>
  <c r="L68" i="2"/>
  <c r="O62" i="2"/>
  <c r="L62" i="2"/>
  <c r="O106" i="2"/>
  <c r="L106" i="2"/>
  <c r="O110" i="2"/>
  <c r="L110" i="2"/>
  <c r="O25" i="2"/>
  <c r="L25" i="2"/>
  <c r="O51" i="2"/>
  <c r="L51" i="2"/>
  <c r="O86" i="2"/>
  <c r="L86" i="2"/>
  <c r="O38" i="2"/>
  <c r="L38" i="2"/>
  <c r="O90" i="2"/>
  <c r="L90" i="2"/>
  <c r="O79" i="2"/>
  <c r="L79" i="2"/>
  <c r="O83" i="2"/>
  <c r="L83" i="2"/>
  <c r="O74" i="2"/>
  <c r="L74" i="2"/>
  <c r="O21" i="2"/>
  <c r="L21" i="2"/>
  <c r="O100" i="2"/>
  <c r="L100" i="2"/>
  <c r="O46" i="2"/>
  <c r="L46" i="2"/>
  <c r="O53" i="2"/>
  <c r="L53" i="2"/>
  <c r="O116" i="2"/>
  <c r="L116" i="2"/>
  <c r="O113" i="2"/>
  <c r="L113" i="2"/>
  <c r="O55" i="2"/>
  <c r="L55" i="2"/>
  <c r="O117" i="2"/>
  <c r="L117" i="2"/>
  <c r="O7" i="2"/>
  <c r="L7" i="2"/>
  <c r="O92" i="2"/>
  <c r="L92" i="2"/>
  <c r="O118" i="2"/>
  <c r="L118" i="2"/>
  <c r="O109" i="2"/>
  <c r="L109" i="2"/>
  <c r="O85" i="2"/>
  <c r="L85" i="2"/>
</calcChain>
</file>

<file path=xl/comments1.xml><?xml version="1.0" encoding="utf-8"?>
<comments xmlns="http://schemas.openxmlformats.org/spreadsheetml/2006/main">
  <authors>
    <author>Javier Ibañez</author>
  </authors>
  <commentList>
    <comment ref="G3" authorId="0">
      <text>
        <r>
          <rPr>
            <b/>
            <sz val="9"/>
            <color indexed="81"/>
            <rFont val="Tahoma"/>
            <family val="2"/>
          </rPr>
          <t>Javier Ibañez:</t>
        </r>
        <r>
          <rPr>
            <sz val="9"/>
            <color indexed="81"/>
            <rFont val="Tahoma"/>
            <family val="2"/>
          </rPr>
          <t xml:space="preserve">
In chronological order</t>
        </r>
      </text>
    </comment>
  </commentList>
</comments>
</file>

<file path=xl/sharedStrings.xml><?xml version="1.0" encoding="utf-8"?>
<sst xmlns="http://schemas.openxmlformats.org/spreadsheetml/2006/main" count="834" uniqueCount="497">
  <si>
    <t>B00ER78</t>
  </si>
  <si>
    <t>Aetonychi mavro</t>
  </si>
  <si>
    <t>B00ER3E</t>
  </si>
  <si>
    <t>Heptakilo</t>
  </si>
  <si>
    <t>B00ERSF</t>
  </si>
  <si>
    <t>Kontegalo</t>
  </si>
  <si>
    <t>B00ERC6</t>
  </si>
  <si>
    <t>Ag isioum</t>
  </si>
  <si>
    <t>B00ER00</t>
  </si>
  <si>
    <t>Koz ouzioum</t>
  </si>
  <si>
    <t>B00F6QM</t>
  </si>
  <si>
    <t>B00FQFI</t>
  </si>
  <si>
    <t>B00ER3A</t>
  </si>
  <si>
    <t>B00FQFK</t>
  </si>
  <si>
    <t>Camarate</t>
  </si>
  <si>
    <t>Zinelabidine et al. 2012</t>
  </si>
  <si>
    <t>B00EJL6</t>
  </si>
  <si>
    <t>Alarije</t>
  </si>
  <si>
    <t>B00ER5K</t>
  </si>
  <si>
    <t>Gibi = Hebén</t>
  </si>
  <si>
    <t>B00FQFB</t>
  </si>
  <si>
    <t>B00FQHQ</t>
  </si>
  <si>
    <t>B00ER8B</t>
  </si>
  <si>
    <t>Alicante Henri Bouschet</t>
  </si>
  <si>
    <t>B00ER9E</t>
  </si>
  <si>
    <t>B00ERA7</t>
  </si>
  <si>
    <t>Petit Bouschet</t>
  </si>
  <si>
    <t>B00FQHR</t>
  </si>
  <si>
    <t>B00EQVW</t>
  </si>
  <si>
    <t>Alfrocheiro preto</t>
  </si>
  <si>
    <t>B00FQGD</t>
  </si>
  <si>
    <t>B00EI55</t>
  </si>
  <si>
    <t>Ferral = Achladi</t>
  </si>
  <si>
    <t>B00EQZG</t>
  </si>
  <si>
    <t>Ohanes</t>
  </si>
  <si>
    <t>Vargas et al. 2009</t>
  </si>
  <si>
    <t>B00ER94</t>
  </si>
  <si>
    <t>Aragatzi</t>
  </si>
  <si>
    <t>B00EQZ2</t>
  </si>
  <si>
    <t>Khoussaïné blanc</t>
  </si>
  <si>
    <t>B00ER1Q</t>
  </si>
  <si>
    <t>Sultanine</t>
  </si>
  <si>
    <t>B00ER4K</t>
  </si>
  <si>
    <t>Arinto do Dão</t>
  </si>
  <si>
    <t>B00ERCP</t>
  </si>
  <si>
    <t>Attiki</t>
  </si>
  <si>
    <t>B00EJK4</t>
  </si>
  <si>
    <t>Alphonse Lavallée</t>
  </si>
  <si>
    <t>B00F6OP</t>
  </si>
  <si>
    <t>Black monukka</t>
  </si>
  <si>
    <t>B00ER8N</t>
  </si>
  <si>
    <t>Bajor kék</t>
  </si>
  <si>
    <t>B00EQT5</t>
  </si>
  <si>
    <t>Blank blauer</t>
  </si>
  <si>
    <t>B00ER7S</t>
  </si>
  <si>
    <t>Goher</t>
  </si>
  <si>
    <t>B00ER3Y</t>
  </si>
  <si>
    <t>Basilikumtraube</t>
  </si>
  <si>
    <t>B00EQVY</t>
  </si>
  <si>
    <t>Chasselas</t>
  </si>
  <si>
    <t>B00ER4V</t>
  </si>
  <si>
    <t>Pinot noir</t>
  </si>
  <si>
    <t>B00ERAJ</t>
  </si>
  <si>
    <t>Bastardo espanhol</t>
  </si>
  <si>
    <t>B00EJL2</t>
  </si>
  <si>
    <t>Trousseau</t>
  </si>
  <si>
    <t>B00ER97</t>
  </si>
  <si>
    <t>Bastardo Magaratchskii</t>
  </si>
  <si>
    <t>B00ER8W</t>
  </si>
  <si>
    <t>Saperavi</t>
  </si>
  <si>
    <t>B00ERBS</t>
  </si>
  <si>
    <t>Bezoul el Aouda</t>
  </si>
  <si>
    <t>B00EQXS</t>
  </si>
  <si>
    <t>Abouhou</t>
  </si>
  <si>
    <t>B00ER3B</t>
  </si>
  <si>
    <t>Dedo de Dama</t>
  </si>
  <si>
    <t>B00ERCG</t>
  </si>
  <si>
    <t>Ichkimar</t>
  </si>
  <si>
    <t>B00EQVG</t>
  </si>
  <si>
    <t>Breider 5-6</t>
  </si>
  <si>
    <t>B00ER8J</t>
  </si>
  <si>
    <t>Siegerrebe</t>
  </si>
  <si>
    <t>B00FQHB</t>
  </si>
  <si>
    <t>Cainho</t>
  </si>
  <si>
    <t>B00ERD1</t>
  </si>
  <si>
    <t>Alvarinho</t>
  </si>
  <si>
    <t>B00F6OI</t>
  </si>
  <si>
    <t>Amaral</t>
  </si>
  <si>
    <t>B00ERRS</t>
  </si>
  <si>
    <t>Calabre</t>
  </si>
  <si>
    <t>B00F6PJ</t>
  </si>
  <si>
    <t>Muscat à petits grains blancs</t>
  </si>
  <si>
    <t>B00F6PN</t>
  </si>
  <si>
    <t>Bicane</t>
  </si>
  <si>
    <t>B00F6OS</t>
  </si>
  <si>
    <t>B00ER16</t>
  </si>
  <si>
    <t>Cardinal</t>
  </si>
  <si>
    <t>B00F6O8</t>
  </si>
  <si>
    <t>Reine des Vignes</t>
  </si>
  <si>
    <t>B00F6NV</t>
  </si>
  <si>
    <t>Carina (Australie)</t>
  </si>
  <si>
    <t>B00ER1P</t>
  </si>
  <si>
    <t>Syrah</t>
  </si>
  <si>
    <t>B00FQJO</t>
  </si>
  <si>
    <t>Castets = Maturana tinta de Navarrete</t>
  </si>
  <si>
    <t>B00EQUU</t>
  </si>
  <si>
    <t>Gros Cabernet</t>
  </si>
  <si>
    <t>B00EQVT</t>
  </si>
  <si>
    <t>Camaraou noir</t>
  </si>
  <si>
    <t>B00ER7C</t>
  </si>
  <si>
    <t>César</t>
  </si>
  <si>
    <t>B00F6P8</t>
  </si>
  <si>
    <t>Argant</t>
  </si>
  <si>
    <t>B00ER5S</t>
  </si>
  <si>
    <t>Chardonnay</t>
  </si>
  <si>
    <t>B00EQTK</t>
  </si>
  <si>
    <t>Gouais blanc</t>
  </si>
  <si>
    <t>B00ERS5</t>
  </si>
  <si>
    <t>B00FQFM</t>
  </si>
  <si>
    <t>Cornifesto</t>
  </si>
  <si>
    <t>B00ER7O</t>
  </si>
  <si>
    <t>Criolla grande sanjuanina</t>
  </si>
  <si>
    <t>B00EQTF</t>
  </si>
  <si>
    <t>Mission = Listan prieto</t>
  </si>
  <si>
    <t>B00EQXL</t>
  </si>
  <si>
    <t>Muscat d'Alexandrie</t>
  </si>
  <si>
    <t>B00F6PB</t>
  </si>
  <si>
    <t>Datal</t>
  </si>
  <si>
    <t>B00F6PK</t>
  </si>
  <si>
    <t>Dattier de Beyrouth</t>
  </si>
  <si>
    <t>B00F6NW</t>
  </si>
  <si>
    <t>Deckrot</t>
  </si>
  <si>
    <t>B00ER1X</t>
  </si>
  <si>
    <t>Teinturier</t>
  </si>
  <si>
    <t>B00ER7D</t>
  </si>
  <si>
    <t>Diagalves</t>
  </si>
  <si>
    <t>B00ERCL</t>
  </si>
  <si>
    <t>Dimiat</t>
  </si>
  <si>
    <t>B00EQU6</t>
  </si>
  <si>
    <t>Coarna alba</t>
  </si>
  <si>
    <t>B00ER0O</t>
  </si>
  <si>
    <t>Doight du neigne</t>
  </si>
  <si>
    <t>B00EQZI</t>
  </si>
  <si>
    <t>Assoued kere</t>
  </si>
  <si>
    <t>B00ER0B</t>
  </si>
  <si>
    <t>Asswad Abou Khislé</t>
  </si>
  <si>
    <t>B00F6NX</t>
  </si>
  <si>
    <t>Domina</t>
  </si>
  <si>
    <t>B00ER9Q</t>
  </si>
  <si>
    <t>Portugais bleu</t>
  </si>
  <si>
    <t>B00FQG1</t>
  </si>
  <si>
    <t>Dona Maria</t>
  </si>
  <si>
    <t>B00ER5A</t>
  </si>
  <si>
    <t>Douradinha</t>
  </si>
  <si>
    <t>B00FQGH</t>
  </si>
  <si>
    <t>B00FQF5</t>
  </si>
  <si>
    <t>B00ER62</t>
  </si>
  <si>
    <t>Flora</t>
  </si>
  <si>
    <t>B00CW9F</t>
  </si>
  <si>
    <t>Savagnin blanc</t>
  </si>
  <si>
    <t>B00ERD5</t>
  </si>
  <si>
    <t>Semillon</t>
  </si>
  <si>
    <t>B00FQI1</t>
  </si>
  <si>
    <t>Fogoneu</t>
  </si>
  <si>
    <t>B00FQI0</t>
  </si>
  <si>
    <t>Murescu = Escursach</t>
  </si>
  <si>
    <t>B00FQI3</t>
  </si>
  <si>
    <t>Mancens = Giro de Baleares</t>
  </si>
  <si>
    <t>B00ER7Y</t>
  </si>
  <si>
    <t>Furmint</t>
  </si>
  <si>
    <t>B00EQX6</t>
  </si>
  <si>
    <t>Alba imputotato</t>
  </si>
  <si>
    <t>B00EQUH</t>
  </si>
  <si>
    <t>Galotta</t>
  </si>
  <si>
    <t>B00ER2O</t>
  </si>
  <si>
    <t>Gamay</t>
  </si>
  <si>
    <t>B00ERBX</t>
  </si>
  <si>
    <t>Ancellotta</t>
  </si>
  <si>
    <t>B00FQI7</t>
  </si>
  <si>
    <t>Garro</t>
  </si>
  <si>
    <t>B00EQX3</t>
  </si>
  <si>
    <t>B00EQT2</t>
  </si>
  <si>
    <t>Lisztes feher</t>
  </si>
  <si>
    <t>B00FQHG</t>
  </si>
  <si>
    <t>Grand Noir de la Calmette</t>
  </si>
  <si>
    <t>B00ER0X</t>
  </si>
  <si>
    <t>Grillo</t>
  </si>
  <si>
    <t>B00ERCA</t>
  </si>
  <si>
    <t>Catarratto bianco</t>
  </si>
  <si>
    <t>B00ER5Y</t>
  </si>
  <si>
    <t>Gros Maroc</t>
  </si>
  <si>
    <t>B00EQX0</t>
  </si>
  <si>
    <t>Frankenthal</t>
  </si>
  <si>
    <t>B00F6PP</t>
  </si>
  <si>
    <t>Black Morocco</t>
  </si>
  <si>
    <t>B00EQTZ</t>
  </si>
  <si>
    <t>Heroldrebe</t>
  </si>
  <si>
    <t>B00ER72</t>
  </si>
  <si>
    <t>Limberger</t>
  </si>
  <si>
    <t>B00ER55</t>
  </si>
  <si>
    <t>Houssein rouge</t>
  </si>
  <si>
    <t>B00EQZV</t>
  </si>
  <si>
    <t>Negru mare</t>
  </si>
  <si>
    <t>B00EJLS</t>
  </si>
  <si>
    <t>Icod de los Vinos</t>
  </si>
  <si>
    <t>B00EJJS</t>
  </si>
  <si>
    <t>B00EJL3</t>
  </si>
  <si>
    <t>Negra mole</t>
  </si>
  <si>
    <t>B00ER5H</t>
  </si>
  <si>
    <t>Irsai Oliver</t>
  </si>
  <si>
    <t>B00EQTL</t>
  </si>
  <si>
    <t>Pozsonyi feher</t>
  </si>
  <si>
    <t>B00ERAT</t>
  </si>
  <si>
    <t>Perle de Csaba</t>
  </si>
  <si>
    <t>B00ER35</t>
  </si>
  <si>
    <t>Ithaki</t>
  </si>
  <si>
    <t>B00ER6A</t>
  </si>
  <si>
    <t>Cinsaut</t>
  </si>
  <si>
    <t>B00ERPQ</t>
  </si>
  <si>
    <t>B00FQHL</t>
  </si>
  <si>
    <t>B00ER58</t>
  </si>
  <si>
    <t>Kanzler</t>
  </si>
  <si>
    <t>B00ER3S</t>
  </si>
  <si>
    <t>Sylvaner</t>
  </si>
  <si>
    <t>B00ERPW</t>
  </si>
  <si>
    <t>Müller-Thurgau</t>
  </si>
  <si>
    <t>B00ERRD</t>
  </si>
  <si>
    <t>Kerner</t>
  </si>
  <si>
    <t>B00ER65</t>
  </si>
  <si>
    <t>Riesling</t>
  </si>
  <si>
    <t>B00ER1S</t>
  </si>
  <si>
    <t>Kizil Yakdona</t>
  </si>
  <si>
    <t>B00ER03</t>
  </si>
  <si>
    <t>Tagobi</t>
  </si>
  <si>
    <t>B00ER2Y</t>
  </si>
  <si>
    <t>Lignan</t>
  </si>
  <si>
    <t>B00ER5O</t>
  </si>
  <si>
    <t>Madeleine Salomon = Agostenga blanc</t>
  </si>
  <si>
    <t>B00ER6I</t>
  </si>
  <si>
    <t>Bermestia bianca</t>
  </si>
  <si>
    <t>B00ER7E</t>
  </si>
  <si>
    <t>Madeleine de Clermont</t>
  </si>
  <si>
    <t>B00ERQS</t>
  </si>
  <si>
    <t>Madeleine angevine</t>
  </si>
  <si>
    <t>B00ER28</t>
  </si>
  <si>
    <t>B00ER7B</t>
  </si>
  <si>
    <t>Malvar</t>
  </si>
  <si>
    <t>B00FQHI</t>
  </si>
  <si>
    <t>B00CW9D</t>
  </si>
  <si>
    <t>Malvasia di Sardegna</t>
  </si>
  <si>
    <t>B00FQHA</t>
  </si>
  <si>
    <t>B00ER1U</t>
  </si>
  <si>
    <t>Matilde</t>
  </si>
  <si>
    <t>B00ER9A</t>
  </si>
  <si>
    <t>Italia</t>
  </si>
  <si>
    <t>B00ER4A</t>
  </si>
  <si>
    <t>Maturana blanca</t>
  </si>
  <si>
    <t>B00DWXT</t>
  </si>
  <si>
    <t>Castellana blanca</t>
  </si>
  <si>
    <t>B00ER3R</t>
  </si>
  <si>
    <t>Merbein seedless</t>
  </si>
  <si>
    <t>B00ERA9</t>
  </si>
  <si>
    <t>Mayorquin</t>
  </si>
  <si>
    <t>B00ER9H</t>
  </si>
  <si>
    <t>Merlot</t>
  </si>
  <si>
    <t>B001759</t>
  </si>
  <si>
    <t>Cabernet franc</t>
  </si>
  <si>
    <t>B00EQUC</t>
  </si>
  <si>
    <t>Magdeleine noire des Charentes</t>
  </si>
  <si>
    <t>B00F6OH</t>
  </si>
  <si>
    <t>Merseguera</t>
  </si>
  <si>
    <t>B00ER9G</t>
  </si>
  <si>
    <t>Meslier Saint-François</t>
  </si>
  <si>
    <t>B00ER5X</t>
  </si>
  <si>
    <t>Chenin</t>
  </si>
  <si>
    <t>B00EQVJ</t>
  </si>
  <si>
    <t>Mireille</t>
  </si>
  <si>
    <t>B00ER49</t>
  </si>
  <si>
    <t>Mondeuse</t>
  </si>
  <si>
    <t>B00EQV7</t>
  </si>
  <si>
    <t>Mondeuse blanche</t>
  </si>
  <si>
    <t>B00ERA8</t>
  </si>
  <si>
    <t>Tressot</t>
  </si>
  <si>
    <t>B00FQID</t>
  </si>
  <si>
    <t>B00ER52</t>
  </si>
  <si>
    <t>Mourisco tinto = Marufo</t>
  </si>
  <si>
    <t>B00ER6M</t>
  </si>
  <si>
    <t>B00FQIO</t>
  </si>
  <si>
    <t>Zinelabidine et al. 2015</t>
  </si>
  <si>
    <t>B00FQFO</t>
  </si>
  <si>
    <t>Mureto</t>
  </si>
  <si>
    <t>B00ER9Y</t>
  </si>
  <si>
    <t>Muscat d'Istamboul</t>
  </si>
  <si>
    <t>B00F6PL</t>
  </si>
  <si>
    <t>B00ERC4</t>
  </si>
  <si>
    <t>Muscat Ottonel</t>
  </si>
  <si>
    <t>B00F6PM</t>
  </si>
  <si>
    <t>Muscat d'Eisenstadt</t>
  </si>
  <si>
    <t>B00ER92</t>
  </si>
  <si>
    <t>Négret castrais</t>
  </si>
  <si>
    <t>B00ERD9</t>
  </si>
  <si>
    <t>Mauzac</t>
  </si>
  <si>
    <t>B00EQXA</t>
  </si>
  <si>
    <t>Opsimo Edessis</t>
  </si>
  <si>
    <t>B00EQTA</t>
  </si>
  <si>
    <t>Rosa menna di vacca</t>
  </si>
  <si>
    <t>B00ER5B</t>
  </si>
  <si>
    <t>Orangetraube</t>
  </si>
  <si>
    <t>B00174Y</t>
  </si>
  <si>
    <t>Orlovi nokti</t>
  </si>
  <si>
    <t>B00EQZH</t>
  </si>
  <si>
    <t>Teta de Vaca = De Cuerno</t>
  </si>
  <si>
    <t>B00ER0U</t>
  </si>
  <si>
    <t>Ortega</t>
  </si>
  <si>
    <t>B00F6O6</t>
  </si>
  <si>
    <t>Osteiner</t>
  </si>
  <si>
    <t>B00ERPO</t>
  </si>
  <si>
    <t>Palestina Oberlin I</t>
  </si>
  <si>
    <t>B00ER95</t>
  </si>
  <si>
    <t>Papazkarasi</t>
  </si>
  <si>
    <t>B00F6ON</t>
  </si>
  <si>
    <t>Prokupac</t>
  </si>
  <si>
    <t>B00EQYQ</t>
  </si>
  <si>
    <t>Pasiga</t>
  </si>
  <si>
    <t>B00ER32</t>
  </si>
  <si>
    <t>Pinotage</t>
  </si>
  <si>
    <t>B00EJKS</t>
  </si>
  <si>
    <t>Planta nova</t>
  </si>
  <si>
    <t>B00FQGG</t>
  </si>
  <si>
    <t>Royal = Rojal tinta</t>
  </si>
  <si>
    <t>B00F6OQ</t>
  </si>
  <si>
    <t>Plavina crna</t>
  </si>
  <si>
    <t>B00EQTO</t>
  </si>
  <si>
    <t>Verdeca = Lagorthi</t>
  </si>
  <si>
    <t>B00EQXH</t>
  </si>
  <si>
    <t>Primitivo</t>
  </si>
  <si>
    <t>B00ER5L</t>
  </si>
  <si>
    <t>Quiebratinajas</t>
  </si>
  <si>
    <t>B00ER93</t>
  </si>
  <si>
    <t>Rannii Vira</t>
  </si>
  <si>
    <t>B00EQYR</t>
  </si>
  <si>
    <t>Kichmich tcherni</t>
  </si>
  <si>
    <t>B00ERCK</t>
  </si>
  <si>
    <t>Chaouch blanc</t>
  </si>
  <si>
    <t>B00ERBU</t>
  </si>
  <si>
    <t>Rassegui</t>
  </si>
  <si>
    <t>B00ER3C</t>
  </si>
  <si>
    <t>Roi des précoces</t>
  </si>
  <si>
    <t>B00ER8U</t>
  </si>
  <si>
    <t>Romeïko</t>
  </si>
  <si>
    <t>B00F6P1</t>
  </si>
  <si>
    <t>Ladikino = Psarossyriko</t>
  </si>
  <si>
    <t>B00EQVF</t>
  </si>
  <si>
    <t>Roublot</t>
  </si>
  <si>
    <t>B00FQJ2</t>
  </si>
  <si>
    <t>B00EJLB</t>
  </si>
  <si>
    <t>Manseng noir</t>
  </si>
  <si>
    <t>B00ERR1</t>
  </si>
  <si>
    <t>Servant</t>
  </si>
  <si>
    <t>B00EQUD</t>
  </si>
  <si>
    <t>Wildbacher de Hongrie (Collection Ravaz)</t>
  </si>
  <si>
    <t>B00FQ54</t>
  </si>
  <si>
    <t>B00EJK6</t>
  </si>
  <si>
    <t>Zalema</t>
  </si>
  <si>
    <t>B00ER2B</t>
  </si>
  <si>
    <t>Sultana moscata</t>
  </si>
  <si>
    <t>B00EQUZ</t>
  </si>
  <si>
    <t>Dureza</t>
  </si>
  <si>
    <t>B00F6PC</t>
  </si>
  <si>
    <t>Tarrango</t>
  </si>
  <si>
    <t>B00EQV1</t>
  </si>
  <si>
    <t>Touriga nacional</t>
  </si>
  <si>
    <t>B00FQJ8</t>
  </si>
  <si>
    <t>Tempranilla blanca = Santa Magdalena</t>
  </si>
  <si>
    <t>B00EJJW</t>
  </si>
  <si>
    <t>Tempranillo</t>
  </si>
  <si>
    <t>B00FQH9</t>
  </si>
  <si>
    <t>B00FQJ6</t>
  </si>
  <si>
    <t>B00ER19</t>
  </si>
  <si>
    <t>Tinta Barroca</t>
  </si>
  <si>
    <t>B00FQGU</t>
  </si>
  <si>
    <t>B00F6P5</t>
  </si>
  <si>
    <t>B00EQSG</t>
  </si>
  <si>
    <t>Totika</t>
  </si>
  <si>
    <t>B00ERA2</t>
  </si>
  <si>
    <t>Kadarka</t>
  </si>
  <si>
    <t>B00FQJM</t>
  </si>
  <si>
    <t>Touriga franca</t>
  </si>
  <si>
    <t>B00FQJH</t>
  </si>
  <si>
    <t>B00EQSI</t>
  </si>
  <si>
    <t>Urmi dinka</t>
  </si>
  <si>
    <t>B00ERRY</t>
  </si>
  <si>
    <t>Izsaki sarfeher</t>
  </si>
  <si>
    <t>B00EJLL</t>
  </si>
  <si>
    <t>Verdejo</t>
  </si>
  <si>
    <t>B00EJKF</t>
  </si>
  <si>
    <t>B00ER85</t>
  </si>
  <si>
    <t>Victoria</t>
  </si>
  <si>
    <t>B00FQFE</t>
  </si>
  <si>
    <t>Vital</t>
  </si>
  <si>
    <t>B00FQFG</t>
  </si>
  <si>
    <t>B00ER1V</t>
  </si>
  <si>
    <t>Zweigelt</t>
  </si>
  <si>
    <t>B00EQX4</t>
  </si>
  <si>
    <t>Saint-Laurent</t>
  </si>
  <si>
    <t>Sample ID Kid</t>
  </si>
  <si>
    <t>Sample ID Parent 1</t>
  </si>
  <si>
    <t>Sample ID Parent 2</t>
  </si>
  <si>
    <t>Variety name Kid</t>
  </si>
  <si>
    <t>Variety name Parent 1</t>
  </si>
  <si>
    <t>Variety name Parent 2</t>
  </si>
  <si>
    <t>Nb loci</t>
  </si>
  <si>
    <t>Nb mismatch</t>
  </si>
  <si>
    <t>LOD-score</t>
  </si>
  <si>
    <t>Lacombe et al. 2013</t>
  </si>
  <si>
    <t>breeder's data</t>
  </si>
  <si>
    <t>N_IBS0 KID-P1</t>
  </si>
  <si>
    <t>%IBS KID-P1</t>
  </si>
  <si>
    <t>Kinship KID-P1</t>
  </si>
  <si>
    <t>N_IBS0 KID-P2</t>
  </si>
  <si>
    <t>%IBS KID-P2</t>
  </si>
  <si>
    <t>Kinship KID-P2</t>
  </si>
  <si>
    <t>Verdejo de Salamanca</t>
  </si>
  <si>
    <t>Mai_3</t>
  </si>
  <si>
    <t>Javor Weiss</t>
  </si>
  <si>
    <t>Cornichon blanc (non-identified)</t>
  </si>
  <si>
    <t>Agua Santa</t>
  </si>
  <si>
    <t>Almeria nera</t>
  </si>
  <si>
    <t>Ferral (Spain) = Uvallon</t>
  </si>
  <si>
    <t>Torralba</t>
  </si>
  <si>
    <t>Allarén</t>
  </si>
  <si>
    <t>Moscatel de Angüés</t>
  </si>
  <si>
    <t>Trincadeira das Pratas</t>
  </si>
  <si>
    <t>Benedicto</t>
  </si>
  <si>
    <t>Breval negro</t>
  </si>
  <si>
    <t>Institutis grdzelmtevana</t>
  </si>
  <si>
    <t>Rabo d'ovelha</t>
  </si>
  <si>
    <t>Bermejuela</t>
  </si>
  <si>
    <t>Ibáñez et al. 2012</t>
  </si>
  <si>
    <t>Zerolo et al. 2006</t>
  </si>
  <si>
    <t>Cunha et al. 2015; Zinelabidine et al. 2015</t>
  </si>
  <si>
    <t>Castelão = Periquita</t>
  </si>
  <si>
    <t>Tortozón</t>
  </si>
  <si>
    <t>Albillo de Granada</t>
  </si>
  <si>
    <t>Cabezas et al. 2003; Cipriani et al. 2010; Lacombe et al. 2013</t>
  </si>
  <si>
    <t>Garnacha tinta = Grenache</t>
  </si>
  <si>
    <t>Lacombe et al. 2013; Zinelabidine et al. 2015; Cunha et al. 2015</t>
  </si>
  <si>
    <t>Díaz-Losada et al. 2011; Lacombe et al. 2013</t>
  </si>
  <si>
    <t>Cayetana blanca = Jaén blanco</t>
  </si>
  <si>
    <t>Zinelabidine et al. 2012; Lacombe et al. 2013; Cunha et al. 2015</t>
  </si>
  <si>
    <t xml:space="preserve">Zinelabidine et al. 2012; Lacombe et al. 2013; Cunha et al. 2015 </t>
  </si>
  <si>
    <t>Bowers et al. 1998 and 1999; Regner et al. 1998 and 2000; Lacombe et al. 2013</t>
  </si>
  <si>
    <t>Mission = Listán prieto</t>
  </si>
  <si>
    <t>This et al. 2006; Milla Tapia et al. 2007; Lacombe et al. 2013</t>
  </si>
  <si>
    <t>Lacombe et al. 2013; Zinelabidine et al. 2015</t>
  </si>
  <si>
    <t>Boursiquot et al. 2004; Lacombe et al. 2010; Lacombe et al. 2013</t>
  </si>
  <si>
    <t>IFV 2007; Ibáñez et al. 2009; Cipriani et al. 2010; Lacombe et al. 2013</t>
  </si>
  <si>
    <t>Vargas et al. 2009; Lacombe et al. 2013</t>
  </si>
  <si>
    <t>Lacombe et al. 2013; Cunha et al. 2015</t>
  </si>
  <si>
    <t>Dangl 2006; Lacombe et al. 2010; Myles et al. 2011; Lacombe et al. 2013</t>
  </si>
  <si>
    <t>García-Muñoz 2011; Lacombe et al. 2013</t>
  </si>
  <si>
    <t>Graciano = Morrastel</t>
  </si>
  <si>
    <t>Bowers et al. 1999; Lacombe et al. 2013</t>
  </si>
  <si>
    <t>García-Muñoz 2011; Lacombe et al. 2013; Zinelabidine et al. 2015</t>
  </si>
  <si>
    <t>Di Vecchi Staraz et al. 2007; Cipriani et al. 2010; Lacombe et al. 2013</t>
  </si>
  <si>
    <t>Palomino fino = Listán</t>
  </si>
  <si>
    <t>Zerolo et al 2006; Lacombe et al. 2013</t>
  </si>
  <si>
    <t>Kiss et al. 2005; Galbacs et al. 2009; Lacombe et al. 2013</t>
  </si>
  <si>
    <t>Juan García</t>
  </si>
  <si>
    <t>Zinelabidine et al. 2012; Cunha et al. 2015</t>
  </si>
  <si>
    <t>Maul et al. 2012; Lacombe et al. 2013</t>
  </si>
  <si>
    <t>Grando &amp; Frisinghelli 1998; Cipriani et al. 2010; Myles et al. 2011; Maul et al. 2012; Lacombe et al. 2013</t>
  </si>
  <si>
    <t>Malvasia volcánica</t>
  </si>
  <si>
    <t>Zulini et al. 2002; Ibáñez et al. 2009; Cipriani et al. 2010; Lacombe et al. 2013</t>
  </si>
  <si>
    <t>Boursiquot et al. 2009;Lacombe et al. 2013</t>
  </si>
  <si>
    <t>Bowers et al. 1998; Lacombe et al. 2013</t>
  </si>
  <si>
    <t>Lacombe et al. 2013; Ghaffari et al. 2014</t>
  </si>
  <si>
    <t>Mondragón</t>
  </si>
  <si>
    <t>Monastrell = Mourvèdre</t>
  </si>
  <si>
    <t>Lacombe et al. 2007; Zinelabidine et al. 2012; Lacombe et al. 2013; Cunha et al. 2015</t>
  </si>
  <si>
    <t>Cipriani et al. 2010; Lacombe et al. 2010; Lacombe et al. 2013; Ghaffari et al. 2014</t>
  </si>
  <si>
    <t>Valencí blanco</t>
  </si>
  <si>
    <t>Ibáñez et al. 2009; Lacombe et al. 2013</t>
  </si>
  <si>
    <t>Lacombe et al. 2007; Cipriani et al. 2010; Lacombe et al. 2013</t>
  </si>
  <si>
    <t>Ibáñez et al. 2009; Lacombe et al. 2013; Ghaffari et al. 2014</t>
  </si>
  <si>
    <t>Señá</t>
  </si>
  <si>
    <t>Unknown grapevine CA 10.1</t>
  </si>
  <si>
    <t>Identified to Zalema in De Andrés et al. 2012</t>
  </si>
  <si>
    <t>Albillo Mayor = Picadillo</t>
  </si>
  <si>
    <t>Agüero et al. 2003; This et al. 2006; Lacombe et al. 2007; Milla Tapia et al. 2007; Lacombe et al. 2013</t>
  </si>
  <si>
    <t>Castro et al. 2011; Lacombe et al. 2013</t>
  </si>
  <si>
    <t>Torrontés riojano</t>
  </si>
  <si>
    <t>García-Muñoz 2011; Lacombe et al. 2013; Ghaffari et al. 2014</t>
  </si>
  <si>
    <t>Zulini et al. 2002; Cipriani et al. 2010; Lacombe et al. 2013; Ghaffari et al. 2014</t>
  </si>
  <si>
    <t>Sefc et al. 1997; Lacombe et al. 2013</t>
  </si>
  <si>
    <r>
      <t>Pr</t>
    </r>
    <r>
      <rPr>
        <b/>
        <sz val="11"/>
        <rFont val="Calibri"/>
        <family val="2"/>
        <scheme val="minor"/>
      </rPr>
      <t>evious publication of pedigree confirmation with molecular markers</t>
    </r>
  </si>
  <si>
    <r>
      <t xml:space="preserve">S2 Table. </t>
    </r>
    <r>
      <rPr>
        <sz val="11"/>
        <color theme="1"/>
        <rFont val="Arial"/>
        <family val="2"/>
      </rPr>
      <t xml:space="preserve">List of parent-offspring trios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</si>
</sst>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quotePrefix="1" applyFill="1"/>
    <xf numFmtId="0" fontId="4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1" applyFont="1" applyFill="1"/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Font="1"/>
    <xf numFmtId="0" fontId="4" fillId="0" borderId="0" xfId="2" applyFont="1" applyFill="1"/>
    <xf numFmtId="0" fontId="8" fillId="0" borderId="0" xfId="0" applyFont="1" applyAlignment="1">
      <alignment vertical="center"/>
    </xf>
  </cellXfs>
  <cellStyles count="3">
    <cellStyle name="Insatisfaisant" xfId="2" builtinId="27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1"/>
  <sheetViews>
    <sheetView tabSelected="1" topLeftCell="D1" zoomScale="75" zoomScaleNormal="75" workbookViewId="0">
      <pane ySplit="3" topLeftCell="A4" activePane="bottomLeft" state="frozen"/>
      <selection pane="bottomLeft" activeCell="F9" sqref="F9"/>
    </sheetView>
  </sheetViews>
  <sheetFormatPr baseColWidth="10" defaultRowHeight="15" x14ac:dyDescent="0.25"/>
  <cols>
    <col min="1" max="1" width="13.140625" bestFit="1" customWidth="1"/>
    <col min="2" max="2" width="24.140625" customWidth="1"/>
    <col min="3" max="3" width="11.5703125" customWidth="1"/>
    <col min="4" max="4" width="35.5703125" bestFit="1" customWidth="1"/>
    <col min="5" max="5" width="12.5703125" customWidth="1"/>
    <col min="6" max="6" width="31.140625" customWidth="1"/>
    <col min="7" max="7" width="45.85546875" customWidth="1"/>
    <col min="8" max="8" width="7.140625" bestFit="1" customWidth="1"/>
    <col min="9" max="9" width="12.5703125" bestFit="1" customWidth="1"/>
    <col min="10" max="10" width="10" bestFit="1" customWidth="1"/>
    <col min="11" max="11" width="13.85546875" style="3" bestFit="1" customWidth="1"/>
    <col min="12" max="12" width="13.85546875" style="3" customWidth="1"/>
    <col min="13" max="13" width="13.5703125" style="3" bestFit="1" customWidth="1"/>
    <col min="14" max="14" width="13.140625" style="3" bestFit="1" customWidth="1"/>
    <col min="15" max="15" width="13.140625" style="3" customWidth="1"/>
    <col min="16" max="16" width="13.5703125" style="3" bestFit="1" customWidth="1"/>
  </cols>
  <sheetData>
    <row r="1" spans="1:16" x14ac:dyDescent="0.25">
      <c r="D1" s="14" t="s">
        <v>496</v>
      </c>
    </row>
    <row r="3" spans="1:16" s="1" customFormat="1" x14ac:dyDescent="0.25">
      <c r="A3" s="1" t="s">
        <v>405</v>
      </c>
      <c r="B3" s="1" t="s">
        <v>408</v>
      </c>
      <c r="C3" s="1" t="s">
        <v>406</v>
      </c>
      <c r="D3" s="1" t="s">
        <v>409</v>
      </c>
      <c r="E3" s="1" t="s">
        <v>407</v>
      </c>
      <c r="F3" s="1" t="s">
        <v>410</v>
      </c>
      <c r="G3" s="1" t="s">
        <v>495</v>
      </c>
      <c r="H3" s="1" t="s">
        <v>411</v>
      </c>
      <c r="I3" s="1" t="s">
        <v>412</v>
      </c>
      <c r="J3" s="1" t="s">
        <v>413</v>
      </c>
      <c r="K3" s="2" t="s">
        <v>416</v>
      </c>
      <c r="L3" s="2" t="s">
        <v>417</v>
      </c>
      <c r="M3" s="2" t="s">
        <v>418</v>
      </c>
      <c r="N3" s="2" t="s">
        <v>419</v>
      </c>
      <c r="O3" s="2" t="s">
        <v>420</v>
      </c>
      <c r="P3" s="2" t="s">
        <v>421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414</v>
      </c>
      <c r="H4">
        <v>10207</v>
      </c>
      <c r="I4">
        <v>2</v>
      </c>
      <c r="J4">
        <v>3861</v>
      </c>
      <c r="K4" s="3">
        <v>0</v>
      </c>
      <c r="L4" s="4">
        <f t="shared" ref="L4:L35" si="0">+K4/1618</f>
        <v>0</v>
      </c>
      <c r="M4" s="4">
        <v>0.23769999999999999</v>
      </c>
      <c r="N4" s="3">
        <v>0</v>
      </c>
      <c r="O4" s="4">
        <f t="shared" ref="O4:O35" si="1">+N4/1618</f>
        <v>0</v>
      </c>
      <c r="P4" s="4">
        <v>0.27760000000000001</v>
      </c>
    </row>
    <row r="5" spans="1:1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435</v>
      </c>
      <c r="H5">
        <v>10207</v>
      </c>
      <c r="I5">
        <v>5</v>
      </c>
      <c r="J5">
        <v>3535</v>
      </c>
      <c r="K5" s="3">
        <v>5</v>
      </c>
      <c r="L5" s="4">
        <f t="shared" si="0"/>
        <v>3.0902348578491965E-3</v>
      </c>
      <c r="M5" s="4">
        <v>0.26490000000000002</v>
      </c>
      <c r="N5" s="3">
        <v>0</v>
      </c>
      <c r="O5" s="4">
        <f t="shared" si="1"/>
        <v>0</v>
      </c>
      <c r="P5" s="4">
        <v>0.22900000000000001</v>
      </c>
    </row>
    <row r="6" spans="1:16" x14ac:dyDescent="0.25">
      <c r="A6" s="7" t="s">
        <v>11</v>
      </c>
      <c r="B6" s="7" t="s">
        <v>426</v>
      </c>
      <c r="C6" t="s">
        <v>12</v>
      </c>
      <c r="D6" s="8" t="s">
        <v>441</v>
      </c>
      <c r="E6" t="s">
        <v>13</v>
      </c>
      <c r="F6" t="s">
        <v>14</v>
      </c>
      <c r="G6" s="6" t="s">
        <v>15</v>
      </c>
      <c r="H6">
        <v>10195</v>
      </c>
      <c r="I6">
        <v>0</v>
      </c>
      <c r="J6">
        <v>3787</v>
      </c>
      <c r="K6" s="3">
        <v>0</v>
      </c>
      <c r="L6" s="4">
        <f t="shared" si="0"/>
        <v>0</v>
      </c>
      <c r="M6" s="4">
        <v>0.27650000000000002</v>
      </c>
      <c r="N6" s="3">
        <v>0</v>
      </c>
      <c r="O6" s="4">
        <f t="shared" si="1"/>
        <v>0</v>
      </c>
      <c r="P6" s="4">
        <v>0.26479999999999998</v>
      </c>
    </row>
    <row r="7" spans="1:16" x14ac:dyDescent="0.25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442</v>
      </c>
      <c r="G7" s="8" t="s">
        <v>414</v>
      </c>
      <c r="H7">
        <v>10207</v>
      </c>
      <c r="I7">
        <v>1</v>
      </c>
      <c r="J7">
        <v>3068</v>
      </c>
      <c r="K7" s="3">
        <v>1</v>
      </c>
      <c r="L7" s="4">
        <f t="shared" si="0"/>
        <v>6.1804697156983925E-4</v>
      </c>
      <c r="M7" s="4">
        <v>0.24959999999999999</v>
      </c>
      <c r="N7" s="3">
        <v>0</v>
      </c>
      <c r="O7" s="4">
        <f t="shared" si="1"/>
        <v>0</v>
      </c>
      <c r="P7" s="4">
        <v>0.25950000000000001</v>
      </c>
    </row>
    <row r="8" spans="1:16" x14ac:dyDescent="0.25">
      <c r="A8" s="9" t="s">
        <v>21</v>
      </c>
      <c r="B8" s="8" t="s">
        <v>443</v>
      </c>
      <c r="C8" s="8" t="s">
        <v>18</v>
      </c>
      <c r="D8" s="8" t="s">
        <v>19</v>
      </c>
      <c r="E8" s="8" t="s">
        <v>20</v>
      </c>
      <c r="F8" s="8" t="s">
        <v>442</v>
      </c>
      <c r="G8" s="8"/>
      <c r="H8">
        <v>10204</v>
      </c>
      <c r="I8">
        <v>1</v>
      </c>
      <c r="J8">
        <v>3126</v>
      </c>
      <c r="K8" s="3">
        <v>0</v>
      </c>
      <c r="L8" s="4">
        <f t="shared" si="0"/>
        <v>0</v>
      </c>
      <c r="M8" s="4">
        <v>0.2384</v>
      </c>
      <c r="N8" s="3">
        <v>0</v>
      </c>
      <c r="O8" s="4">
        <f t="shared" si="1"/>
        <v>0</v>
      </c>
      <c r="P8" s="4">
        <v>0.2747</v>
      </c>
    </row>
    <row r="9" spans="1:16" x14ac:dyDescent="0.25">
      <c r="A9" s="8" t="s">
        <v>22</v>
      </c>
      <c r="B9" s="8" t="s">
        <v>23</v>
      </c>
      <c r="C9" s="8" t="s">
        <v>24</v>
      </c>
      <c r="D9" s="8" t="s">
        <v>445</v>
      </c>
      <c r="E9" s="8" t="s">
        <v>25</v>
      </c>
      <c r="F9" s="8" t="s">
        <v>26</v>
      </c>
      <c r="G9" s="8" t="s">
        <v>444</v>
      </c>
      <c r="H9">
        <v>10207</v>
      </c>
      <c r="I9">
        <v>3</v>
      </c>
      <c r="J9">
        <v>3038</v>
      </c>
      <c r="K9" s="3">
        <v>0</v>
      </c>
      <c r="L9" s="4">
        <f t="shared" si="0"/>
        <v>0</v>
      </c>
      <c r="M9" s="4">
        <v>0.25330000000000003</v>
      </c>
      <c r="N9" s="3">
        <v>1</v>
      </c>
      <c r="O9" s="4">
        <f t="shared" si="1"/>
        <v>6.1804697156983925E-4</v>
      </c>
      <c r="P9" s="4">
        <v>0.22800000000000001</v>
      </c>
    </row>
    <row r="10" spans="1:16" x14ac:dyDescent="0.25">
      <c r="A10" t="s">
        <v>27</v>
      </c>
      <c r="B10" t="s">
        <v>430</v>
      </c>
      <c r="C10" t="s">
        <v>28</v>
      </c>
      <c r="D10" t="s">
        <v>29</v>
      </c>
      <c r="E10" t="s">
        <v>18</v>
      </c>
      <c r="F10" t="s">
        <v>19</v>
      </c>
      <c r="G10" s="6" t="s">
        <v>440</v>
      </c>
      <c r="H10">
        <v>10203</v>
      </c>
      <c r="I10">
        <v>1</v>
      </c>
      <c r="J10">
        <v>2752</v>
      </c>
      <c r="K10" s="3">
        <v>1</v>
      </c>
      <c r="L10" s="4">
        <f t="shared" si="0"/>
        <v>6.1804697156983925E-4</v>
      </c>
      <c r="M10" s="4">
        <v>0.2482</v>
      </c>
      <c r="N10" s="3">
        <v>0</v>
      </c>
      <c r="O10" s="4">
        <f t="shared" si="1"/>
        <v>0</v>
      </c>
      <c r="P10" s="4">
        <v>0.2656</v>
      </c>
    </row>
    <row r="11" spans="1:16" x14ac:dyDescent="0.25">
      <c r="A11" t="s">
        <v>30</v>
      </c>
      <c r="B11" t="s">
        <v>427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>
        <v>10207</v>
      </c>
      <c r="I11">
        <v>0</v>
      </c>
      <c r="J11">
        <v>4351</v>
      </c>
      <c r="K11" s="3">
        <v>0</v>
      </c>
      <c r="L11" s="4">
        <f t="shared" si="0"/>
        <v>0</v>
      </c>
      <c r="M11" s="4">
        <v>0.24129999999999999</v>
      </c>
      <c r="N11" s="3">
        <v>0</v>
      </c>
      <c r="O11" s="4">
        <f t="shared" si="1"/>
        <v>0</v>
      </c>
      <c r="P11" s="4">
        <v>0.27160000000000001</v>
      </c>
    </row>
    <row r="12" spans="1:16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414</v>
      </c>
      <c r="H12">
        <v>10200</v>
      </c>
      <c r="I12">
        <v>3</v>
      </c>
      <c r="J12">
        <v>3626</v>
      </c>
      <c r="K12" s="3">
        <v>1</v>
      </c>
      <c r="L12" s="4">
        <f t="shared" si="0"/>
        <v>6.1804697156983925E-4</v>
      </c>
      <c r="M12" s="4">
        <v>0.26679999999999998</v>
      </c>
      <c r="N12" s="3">
        <v>0</v>
      </c>
      <c r="O12" s="4">
        <f t="shared" si="1"/>
        <v>0</v>
      </c>
      <c r="P12" s="4">
        <v>0.24390000000000001</v>
      </c>
    </row>
    <row r="13" spans="1:16" x14ac:dyDescent="0.25">
      <c r="A13" s="7" t="s">
        <v>42</v>
      </c>
      <c r="B13" t="s">
        <v>43</v>
      </c>
      <c r="C13" t="s">
        <v>28</v>
      </c>
      <c r="D13" t="s">
        <v>29</v>
      </c>
      <c r="E13" t="s">
        <v>18</v>
      </c>
      <c r="F13" t="s">
        <v>19</v>
      </c>
      <c r="G13" s="8" t="s">
        <v>446</v>
      </c>
      <c r="H13">
        <v>10207</v>
      </c>
      <c r="I13">
        <v>1</v>
      </c>
      <c r="J13">
        <v>3020</v>
      </c>
      <c r="K13" s="3">
        <v>0</v>
      </c>
      <c r="L13" s="4">
        <f t="shared" si="0"/>
        <v>0</v>
      </c>
      <c r="M13" s="4">
        <v>0.26340000000000002</v>
      </c>
      <c r="N13" s="3">
        <v>1</v>
      </c>
      <c r="O13" s="4">
        <f t="shared" si="1"/>
        <v>6.1804697156983925E-4</v>
      </c>
      <c r="P13" s="4">
        <v>0.25540000000000002</v>
      </c>
    </row>
    <row r="14" spans="1:16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414</v>
      </c>
      <c r="H14">
        <v>10205</v>
      </c>
      <c r="I14">
        <v>2</v>
      </c>
      <c r="J14">
        <v>3692</v>
      </c>
      <c r="K14" s="3">
        <v>0</v>
      </c>
      <c r="L14" s="4">
        <f t="shared" si="0"/>
        <v>0</v>
      </c>
      <c r="M14" s="4">
        <v>0.2276</v>
      </c>
      <c r="N14" s="3">
        <v>0</v>
      </c>
      <c r="O14" s="4">
        <f t="shared" si="1"/>
        <v>0</v>
      </c>
      <c r="P14" s="4">
        <v>0.26069999999999999</v>
      </c>
    </row>
    <row r="15" spans="1:16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414</v>
      </c>
      <c r="H15">
        <v>10207</v>
      </c>
      <c r="I15">
        <v>2</v>
      </c>
      <c r="J15">
        <v>3456</v>
      </c>
      <c r="K15" s="3">
        <v>1</v>
      </c>
      <c r="L15" s="4">
        <f t="shared" si="0"/>
        <v>6.1804697156983925E-4</v>
      </c>
      <c r="M15" s="4">
        <v>0.2681</v>
      </c>
      <c r="N15" s="3">
        <v>1</v>
      </c>
      <c r="O15" s="4">
        <f t="shared" si="1"/>
        <v>6.1804697156983925E-4</v>
      </c>
      <c r="P15" s="4">
        <v>0.22800000000000001</v>
      </c>
    </row>
    <row r="16" spans="1:16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414</v>
      </c>
      <c r="H16">
        <v>10207</v>
      </c>
      <c r="I16">
        <v>3</v>
      </c>
      <c r="J16">
        <v>4046</v>
      </c>
      <c r="K16" s="3">
        <v>2</v>
      </c>
      <c r="L16" s="4">
        <f t="shared" si="0"/>
        <v>1.2360939431396785E-3</v>
      </c>
      <c r="M16" s="4">
        <v>0.27989999999999998</v>
      </c>
      <c r="N16" s="3">
        <v>0</v>
      </c>
      <c r="O16" s="4">
        <f t="shared" si="1"/>
        <v>0</v>
      </c>
      <c r="P16" s="4">
        <v>0.23760000000000001</v>
      </c>
    </row>
    <row r="17" spans="1:16" x14ac:dyDescent="0.25">
      <c r="A17" t="s">
        <v>62</v>
      </c>
      <c r="B17" t="s">
        <v>63</v>
      </c>
      <c r="C17" t="s">
        <v>64</v>
      </c>
      <c r="D17" t="s">
        <v>65</v>
      </c>
      <c r="E17" t="s">
        <v>18</v>
      </c>
      <c r="F17" t="s">
        <v>19</v>
      </c>
      <c r="G17" t="s">
        <v>414</v>
      </c>
      <c r="H17">
        <v>10207</v>
      </c>
      <c r="I17">
        <v>3</v>
      </c>
      <c r="J17">
        <v>2845</v>
      </c>
      <c r="K17" s="3">
        <v>0</v>
      </c>
      <c r="L17" s="4">
        <f t="shared" si="0"/>
        <v>0</v>
      </c>
      <c r="M17" s="4">
        <v>0.25059999999999999</v>
      </c>
      <c r="N17" s="3">
        <v>5</v>
      </c>
      <c r="O17" s="4">
        <f t="shared" si="1"/>
        <v>3.0902348578491965E-3</v>
      </c>
      <c r="P17" s="4">
        <v>0.24310000000000001</v>
      </c>
    </row>
    <row r="18" spans="1:16" x14ac:dyDescent="0.25">
      <c r="A18" t="s">
        <v>66</v>
      </c>
      <c r="B18" t="s">
        <v>67</v>
      </c>
      <c r="C18" t="s">
        <v>64</v>
      </c>
      <c r="D18" t="s">
        <v>65</v>
      </c>
      <c r="E18" t="s">
        <v>68</v>
      </c>
      <c r="F18" t="s">
        <v>69</v>
      </c>
      <c r="G18" t="s">
        <v>414</v>
      </c>
      <c r="H18">
        <v>10207</v>
      </c>
      <c r="I18">
        <v>3</v>
      </c>
      <c r="J18">
        <v>3456</v>
      </c>
      <c r="K18" s="3">
        <v>0</v>
      </c>
      <c r="L18" s="4">
        <f t="shared" si="0"/>
        <v>0</v>
      </c>
      <c r="M18" s="4">
        <v>0.26490000000000002</v>
      </c>
      <c r="N18" s="3">
        <v>1</v>
      </c>
      <c r="O18" s="4">
        <f t="shared" si="1"/>
        <v>6.1804697156983925E-4</v>
      </c>
      <c r="P18" s="4">
        <v>0.26679999999999998</v>
      </c>
    </row>
    <row r="19" spans="1:16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414</v>
      </c>
      <c r="H19">
        <v>10207</v>
      </c>
      <c r="I19">
        <v>5</v>
      </c>
      <c r="J19">
        <v>3554</v>
      </c>
      <c r="K19" s="3">
        <v>2</v>
      </c>
      <c r="L19" s="4">
        <f t="shared" si="0"/>
        <v>1.2360939431396785E-3</v>
      </c>
      <c r="M19" s="4">
        <v>0.27060000000000001</v>
      </c>
      <c r="N19" s="3">
        <v>4</v>
      </c>
      <c r="O19" s="4">
        <f t="shared" si="1"/>
        <v>2.472187886279357E-3</v>
      </c>
      <c r="P19" s="4">
        <v>0.24640000000000001</v>
      </c>
    </row>
    <row r="20" spans="1:16" x14ac:dyDescent="0.25">
      <c r="A20" t="s">
        <v>48</v>
      </c>
      <c r="B20" t="s">
        <v>49</v>
      </c>
      <c r="C20" t="s">
        <v>40</v>
      </c>
      <c r="D20" t="s">
        <v>41</v>
      </c>
      <c r="E20" t="s">
        <v>76</v>
      </c>
      <c r="F20" t="s">
        <v>77</v>
      </c>
      <c r="G20" t="s">
        <v>414</v>
      </c>
      <c r="H20">
        <v>10207</v>
      </c>
      <c r="I20">
        <v>2</v>
      </c>
      <c r="J20">
        <v>4063</v>
      </c>
      <c r="K20" s="3">
        <v>2</v>
      </c>
      <c r="L20" s="4">
        <f t="shared" si="0"/>
        <v>1.2360939431396785E-3</v>
      </c>
      <c r="M20" s="4">
        <v>0.28920000000000001</v>
      </c>
      <c r="N20" s="3">
        <v>1</v>
      </c>
      <c r="O20" s="4">
        <f t="shared" si="1"/>
        <v>6.1804697156983925E-4</v>
      </c>
      <c r="P20" s="4">
        <v>0.2833</v>
      </c>
    </row>
    <row r="21" spans="1:16" x14ac:dyDescent="0.25">
      <c r="A21" t="s">
        <v>78</v>
      </c>
      <c r="B21" t="s">
        <v>79</v>
      </c>
      <c r="C21" t="s">
        <v>80</v>
      </c>
      <c r="D21" t="s">
        <v>81</v>
      </c>
      <c r="E21" t="s">
        <v>80</v>
      </c>
      <c r="F21" t="s">
        <v>81</v>
      </c>
      <c r="G21" t="s">
        <v>414</v>
      </c>
      <c r="H21">
        <v>10207</v>
      </c>
      <c r="I21">
        <v>0</v>
      </c>
      <c r="J21">
        <v>5315</v>
      </c>
      <c r="K21" s="3">
        <v>0</v>
      </c>
      <c r="L21" s="4">
        <f t="shared" si="0"/>
        <v>0</v>
      </c>
      <c r="M21" s="4">
        <v>0.26490000000000002</v>
      </c>
      <c r="N21" s="3">
        <v>0</v>
      </c>
      <c r="O21" s="4">
        <f t="shared" si="1"/>
        <v>0</v>
      </c>
      <c r="P21" s="4">
        <v>0.26490000000000002</v>
      </c>
    </row>
    <row r="22" spans="1:16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s="6" t="s">
        <v>447</v>
      </c>
      <c r="H22">
        <v>10207</v>
      </c>
      <c r="I22">
        <v>6</v>
      </c>
      <c r="J22">
        <v>4630</v>
      </c>
      <c r="K22" s="3">
        <v>4</v>
      </c>
      <c r="L22" s="4">
        <f t="shared" si="0"/>
        <v>2.472187886279357E-3</v>
      </c>
      <c r="M22" s="4">
        <v>0.22950000000000001</v>
      </c>
      <c r="N22" s="3">
        <v>3</v>
      </c>
      <c r="O22" s="4">
        <f t="shared" si="1"/>
        <v>1.854140914709518E-3</v>
      </c>
      <c r="P22" s="4">
        <v>0.2384</v>
      </c>
    </row>
    <row r="23" spans="1:16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414</v>
      </c>
      <c r="H23">
        <v>10193</v>
      </c>
      <c r="I23">
        <v>5</v>
      </c>
      <c r="J23">
        <v>3443</v>
      </c>
      <c r="K23" s="3">
        <v>1</v>
      </c>
      <c r="L23" s="4">
        <f t="shared" si="0"/>
        <v>6.1804697156983925E-4</v>
      </c>
      <c r="M23" s="4">
        <v>0.2651</v>
      </c>
      <c r="N23" s="3">
        <v>2</v>
      </c>
      <c r="O23" s="4">
        <f t="shared" si="1"/>
        <v>1.2360939431396785E-3</v>
      </c>
      <c r="P23" s="4">
        <v>0.2329</v>
      </c>
    </row>
    <row r="24" spans="1:16" x14ac:dyDescent="0.25">
      <c r="A24" s="8" t="s">
        <v>13</v>
      </c>
      <c r="B24" s="8" t="s">
        <v>14</v>
      </c>
      <c r="C24" s="8" t="s">
        <v>28</v>
      </c>
      <c r="D24" s="8" t="s">
        <v>29</v>
      </c>
      <c r="E24" s="8" t="s">
        <v>94</v>
      </c>
      <c r="F24" s="8" t="s">
        <v>448</v>
      </c>
      <c r="G24" s="8" t="s">
        <v>449</v>
      </c>
      <c r="H24">
        <v>10198</v>
      </c>
      <c r="I24">
        <v>1</v>
      </c>
      <c r="J24">
        <v>3117</v>
      </c>
      <c r="K24" s="3">
        <v>0</v>
      </c>
      <c r="L24" s="4">
        <f t="shared" si="0"/>
        <v>0</v>
      </c>
      <c r="M24" s="4">
        <v>0.2702</v>
      </c>
      <c r="N24" s="3">
        <v>2</v>
      </c>
      <c r="O24" s="4">
        <f t="shared" si="1"/>
        <v>1.2360939431396785E-3</v>
      </c>
      <c r="P24" s="4">
        <v>0.25240000000000001</v>
      </c>
    </row>
    <row r="25" spans="1:16" x14ac:dyDescent="0.25">
      <c r="A25" s="8" t="s">
        <v>95</v>
      </c>
      <c r="B25" s="8" t="s">
        <v>96</v>
      </c>
      <c r="C25" s="8" t="s">
        <v>46</v>
      </c>
      <c r="D25" s="8" t="s">
        <v>47</v>
      </c>
      <c r="E25" s="8" t="s">
        <v>97</v>
      </c>
      <c r="F25" s="8" t="s">
        <v>98</v>
      </c>
      <c r="G25" s="8" t="s">
        <v>456</v>
      </c>
      <c r="H25">
        <v>10189</v>
      </c>
      <c r="I25">
        <v>4</v>
      </c>
      <c r="J25">
        <v>3206</v>
      </c>
      <c r="K25" s="3">
        <v>2</v>
      </c>
      <c r="L25" s="4">
        <f t="shared" si="0"/>
        <v>1.2360939431396785E-3</v>
      </c>
      <c r="M25" s="4">
        <v>0.2752</v>
      </c>
      <c r="N25" s="3">
        <v>0</v>
      </c>
      <c r="O25" s="4">
        <f t="shared" si="1"/>
        <v>0</v>
      </c>
      <c r="P25" s="4">
        <v>0.26469999999999999</v>
      </c>
    </row>
    <row r="26" spans="1:16" x14ac:dyDescent="0.25">
      <c r="A26" t="s">
        <v>99</v>
      </c>
      <c r="B26" t="s">
        <v>100</v>
      </c>
      <c r="C26" t="s">
        <v>101</v>
      </c>
      <c r="D26" t="s">
        <v>102</v>
      </c>
      <c r="E26" t="s">
        <v>40</v>
      </c>
      <c r="F26" t="s">
        <v>41</v>
      </c>
      <c r="G26" t="s">
        <v>414</v>
      </c>
      <c r="H26">
        <v>10194</v>
      </c>
      <c r="I26">
        <v>5</v>
      </c>
      <c r="J26">
        <v>3390</v>
      </c>
      <c r="K26" s="3">
        <v>2</v>
      </c>
      <c r="L26" s="4">
        <f t="shared" si="0"/>
        <v>1.2360939431396785E-3</v>
      </c>
      <c r="M26" s="4">
        <v>0.2626</v>
      </c>
      <c r="N26" s="3">
        <v>0</v>
      </c>
      <c r="O26" s="4">
        <f t="shared" si="1"/>
        <v>0</v>
      </c>
      <c r="P26" s="4">
        <v>0.2298</v>
      </c>
    </row>
    <row r="27" spans="1:16" x14ac:dyDescent="0.25">
      <c r="A27" s="8" t="s">
        <v>12</v>
      </c>
      <c r="B27" s="8" t="s">
        <v>441</v>
      </c>
      <c r="C27" s="8" t="s">
        <v>28</v>
      </c>
      <c r="D27" s="8" t="s">
        <v>29</v>
      </c>
      <c r="E27" s="8" t="s">
        <v>94</v>
      </c>
      <c r="F27" s="8" t="s">
        <v>448</v>
      </c>
      <c r="G27" s="8" t="s">
        <v>450</v>
      </c>
      <c r="H27">
        <v>10207</v>
      </c>
      <c r="I27">
        <v>1</v>
      </c>
      <c r="J27">
        <v>2979</v>
      </c>
      <c r="K27" s="3">
        <v>0</v>
      </c>
      <c r="L27" s="4">
        <f t="shared" si="0"/>
        <v>0</v>
      </c>
      <c r="M27" s="4">
        <v>0.246</v>
      </c>
      <c r="N27" s="3">
        <v>1</v>
      </c>
      <c r="O27" s="4">
        <f t="shared" si="1"/>
        <v>6.1804697156983925E-4</v>
      </c>
      <c r="P27" s="4">
        <v>0.24979999999999999</v>
      </c>
    </row>
    <row r="28" spans="1:16" x14ac:dyDescent="0.25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 t="s">
        <v>414</v>
      </c>
      <c r="H28">
        <v>10207</v>
      </c>
      <c r="I28">
        <v>5</v>
      </c>
      <c r="J28">
        <v>3902</v>
      </c>
      <c r="K28" s="3">
        <v>3</v>
      </c>
      <c r="L28" s="4">
        <f t="shared" si="0"/>
        <v>1.854140914709518E-3</v>
      </c>
      <c r="M28" s="4">
        <v>0.23619999999999999</v>
      </c>
      <c r="N28" s="3">
        <v>0</v>
      </c>
      <c r="O28" s="4">
        <f t="shared" si="1"/>
        <v>0</v>
      </c>
      <c r="P28" s="4">
        <v>0.2384</v>
      </c>
    </row>
    <row r="29" spans="1:16" x14ac:dyDescent="0.25">
      <c r="A29" t="s">
        <v>109</v>
      </c>
      <c r="B29" t="s">
        <v>110</v>
      </c>
      <c r="C29" t="s">
        <v>60</v>
      </c>
      <c r="D29" t="s">
        <v>61</v>
      </c>
      <c r="E29" t="s">
        <v>111</v>
      </c>
      <c r="F29" t="s">
        <v>112</v>
      </c>
      <c r="G29" t="s">
        <v>414</v>
      </c>
      <c r="H29">
        <v>10201</v>
      </c>
      <c r="I29">
        <v>1</v>
      </c>
      <c r="J29">
        <v>3439</v>
      </c>
      <c r="K29" s="3">
        <v>0</v>
      </c>
      <c r="L29" s="4">
        <f t="shared" si="0"/>
        <v>0</v>
      </c>
      <c r="M29" s="4">
        <v>0.27050000000000002</v>
      </c>
      <c r="N29" s="3">
        <v>0</v>
      </c>
      <c r="O29" s="4">
        <f t="shared" si="1"/>
        <v>0</v>
      </c>
      <c r="P29" s="4">
        <v>0.23769999999999999</v>
      </c>
    </row>
    <row r="30" spans="1:16" x14ac:dyDescent="0.25">
      <c r="A30" t="s">
        <v>113</v>
      </c>
      <c r="B30" t="s">
        <v>114</v>
      </c>
      <c r="C30" t="s">
        <v>115</v>
      </c>
      <c r="D30" t="s">
        <v>116</v>
      </c>
      <c r="E30" t="s">
        <v>60</v>
      </c>
      <c r="F30" t="s">
        <v>61</v>
      </c>
      <c r="G30" s="8" t="s">
        <v>451</v>
      </c>
      <c r="H30">
        <v>10207</v>
      </c>
      <c r="I30">
        <v>5</v>
      </c>
      <c r="J30">
        <v>3311</v>
      </c>
      <c r="K30" s="3">
        <v>4</v>
      </c>
      <c r="L30" s="4">
        <f t="shared" si="0"/>
        <v>2.472187886279357E-3</v>
      </c>
      <c r="M30" s="4">
        <v>0.2278</v>
      </c>
      <c r="N30" s="3">
        <v>1</v>
      </c>
      <c r="O30" s="4">
        <f t="shared" si="1"/>
        <v>6.1804697156983925E-4</v>
      </c>
      <c r="P30" s="4">
        <v>0.2404</v>
      </c>
    </row>
    <row r="31" spans="1:16" x14ac:dyDescent="0.25">
      <c r="A31" t="s">
        <v>117</v>
      </c>
      <c r="B31" t="s">
        <v>425</v>
      </c>
      <c r="C31" t="s">
        <v>58</v>
      </c>
      <c r="D31" t="s">
        <v>59</v>
      </c>
      <c r="E31" t="s">
        <v>92</v>
      </c>
      <c r="F31" t="s">
        <v>93</v>
      </c>
      <c r="H31">
        <v>10207</v>
      </c>
      <c r="I31">
        <v>5</v>
      </c>
      <c r="J31">
        <v>3991</v>
      </c>
      <c r="K31" s="3">
        <v>3</v>
      </c>
      <c r="L31" s="4">
        <f t="shared" si="0"/>
        <v>1.854140914709518E-3</v>
      </c>
      <c r="M31" s="4">
        <v>0.2334</v>
      </c>
      <c r="N31" s="3">
        <v>2</v>
      </c>
      <c r="O31" s="4">
        <f t="shared" si="1"/>
        <v>1.2360939431396785E-3</v>
      </c>
      <c r="P31" s="4">
        <v>0.23780000000000001</v>
      </c>
    </row>
    <row r="32" spans="1:16" x14ac:dyDescent="0.25">
      <c r="A32" s="8" t="s">
        <v>118</v>
      </c>
      <c r="B32" s="8" t="s">
        <v>119</v>
      </c>
      <c r="C32" s="8" t="s">
        <v>28</v>
      </c>
      <c r="D32" s="8" t="s">
        <v>29</v>
      </c>
      <c r="E32" s="8" t="s">
        <v>94</v>
      </c>
      <c r="F32" s="8" t="s">
        <v>448</v>
      </c>
      <c r="G32" s="8" t="s">
        <v>449</v>
      </c>
      <c r="H32">
        <v>10201</v>
      </c>
      <c r="I32">
        <v>4</v>
      </c>
      <c r="J32">
        <v>3097</v>
      </c>
      <c r="K32" s="3">
        <v>3</v>
      </c>
      <c r="L32" s="4">
        <f t="shared" si="0"/>
        <v>1.854140914709518E-3</v>
      </c>
      <c r="M32" s="4">
        <v>0.2384</v>
      </c>
      <c r="N32" s="3">
        <v>0</v>
      </c>
      <c r="O32" s="4">
        <f t="shared" si="1"/>
        <v>0</v>
      </c>
      <c r="P32" s="4">
        <v>0.25659999999999999</v>
      </c>
    </row>
    <row r="33" spans="1:16" x14ac:dyDescent="0.25">
      <c r="A33" s="8" t="s">
        <v>120</v>
      </c>
      <c r="B33" s="8" t="s">
        <v>121</v>
      </c>
      <c r="C33" s="8" t="s">
        <v>122</v>
      </c>
      <c r="D33" s="8" t="s">
        <v>452</v>
      </c>
      <c r="E33" s="8" t="s">
        <v>124</v>
      </c>
      <c r="F33" s="8" t="s">
        <v>125</v>
      </c>
      <c r="G33" s="8" t="s">
        <v>453</v>
      </c>
      <c r="H33">
        <v>10207</v>
      </c>
      <c r="I33">
        <v>2</v>
      </c>
      <c r="J33">
        <v>3097</v>
      </c>
      <c r="K33" s="3">
        <v>2</v>
      </c>
      <c r="L33" s="4">
        <f t="shared" si="0"/>
        <v>1.2360939431396785E-3</v>
      </c>
      <c r="M33" s="4">
        <v>0.25659999999999999</v>
      </c>
      <c r="N33" s="3">
        <v>5</v>
      </c>
      <c r="O33" s="4">
        <f t="shared" si="1"/>
        <v>3.0902348578491965E-3</v>
      </c>
      <c r="P33" s="4">
        <v>0.26740000000000003</v>
      </c>
    </row>
    <row r="34" spans="1:16" x14ac:dyDescent="0.25">
      <c r="A34" t="s">
        <v>126</v>
      </c>
      <c r="B34" t="s">
        <v>127</v>
      </c>
      <c r="C34" t="s">
        <v>124</v>
      </c>
      <c r="D34" t="s">
        <v>125</v>
      </c>
      <c r="E34" t="s">
        <v>128</v>
      </c>
      <c r="F34" t="s">
        <v>129</v>
      </c>
      <c r="G34" t="s">
        <v>414</v>
      </c>
      <c r="H34">
        <v>10207</v>
      </c>
      <c r="I34">
        <v>4</v>
      </c>
      <c r="J34">
        <v>3318</v>
      </c>
      <c r="K34" s="3">
        <v>2</v>
      </c>
      <c r="L34" s="4">
        <f t="shared" si="0"/>
        <v>1.2360939431396785E-3</v>
      </c>
      <c r="M34" s="4">
        <v>0.25240000000000001</v>
      </c>
      <c r="N34" s="3">
        <v>3</v>
      </c>
      <c r="O34" s="4">
        <f t="shared" si="1"/>
        <v>1.854140914709518E-3</v>
      </c>
      <c r="P34" s="4">
        <v>0.19570000000000001</v>
      </c>
    </row>
    <row r="35" spans="1:16" x14ac:dyDescent="0.25">
      <c r="A35" t="s">
        <v>130</v>
      </c>
      <c r="B35" t="s">
        <v>131</v>
      </c>
      <c r="C35" t="s">
        <v>132</v>
      </c>
      <c r="D35" t="s">
        <v>133</v>
      </c>
      <c r="E35" t="s">
        <v>60</v>
      </c>
      <c r="F35" t="s">
        <v>61</v>
      </c>
      <c r="G35" t="s">
        <v>414</v>
      </c>
      <c r="H35">
        <v>10182</v>
      </c>
      <c r="I35">
        <v>2</v>
      </c>
      <c r="J35">
        <v>4467</v>
      </c>
      <c r="K35" s="3">
        <v>1</v>
      </c>
      <c r="L35" s="4">
        <f t="shared" si="0"/>
        <v>6.1804697156983925E-4</v>
      </c>
      <c r="M35" s="4">
        <v>0.2833</v>
      </c>
      <c r="N35" s="3">
        <v>0</v>
      </c>
      <c r="O35" s="4">
        <f t="shared" si="1"/>
        <v>0</v>
      </c>
      <c r="P35" s="4">
        <v>0.2596</v>
      </c>
    </row>
    <row r="36" spans="1:16" x14ac:dyDescent="0.25">
      <c r="A36" s="8" t="s">
        <v>134</v>
      </c>
      <c r="B36" s="8" t="s">
        <v>135</v>
      </c>
      <c r="C36" s="8" t="s">
        <v>74</v>
      </c>
      <c r="D36" s="8" t="s">
        <v>75</v>
      </c>
      <c r="E36" s="8" t="s">
        <v>18</v>
      </c>
      <c r="F36" s="8" t="s">
        <v>19</v>
      </c>
      <c r="G36" s="8" t="s">
        <v>454</v>
      </c>
      <c r="H36">
        <v>10204</v>
      </c>
      <c r="I36">
        <v>6</v>
      </c>
      <c r="J36">
        <v>2847</v>
      </c>
      <c r="K36" s="3">
        <v>5</v>
      </c>
      <c r="L36" s="4">
        <f t="shared" ref="L36:L67" si="2">+K36/1618</f>
        <v>3.0902348578491965E-3</v>
      </c>
      <c r="M36" s="4">
        <v>0.26740000000000003</v>
      </c>
      <c r="N36" s="3">
        <v>1</v>
      </c>
      <c r="O36" s="4">
        <f t="shared" ref="O36:O67" si="3">+N36/1618</f>
        <v>6.1804697156983925E-4</v>
      </c>
      <c r="P36" s="4">
        <v>0.27439999999999998</v>
      </c>
    </row>
    <row r="37" spans="1:16" x14ac:dyDescent="0.25">
      <c r="A37" s="8" t="s">
        <v>136</v>
      </c>
      <c r="B37" s="8" t="s">
        <v>137</v>
      </c>
      <c r="C37" s="8" t="s">
        <v>115</v>
      </c>
      <c r="D37" s="8" t="s">
        <v>116</v>
      </c>
      <c r="E37" s="8" t="s">
        <v>138</v>
      </c>
      <c r="F37" s="8" t="s">
        <v>139</v>
      </c>
      <c r="G37" s="8" t="s">
        <v>455</v>
      </c>
      <c r="H37">
        <v>10207</v>
      </c>
      <c r="I37">
        <v>5</v>
      </c>
      <c r="J37">
        <v>3132</v>
      </c>
      <c r="K37" s="3">
        <v>1</v>
      </c>
      <c r="L37" s="4">
        <f t="shared" si="2"/>
        <v>6.1804697156983925E-4</v>
      </c>
      <c r="M37" s="4">
        <v>0.27760000000000001</v>
      </c>
      <c r="N37" s="3">
        <v>1</v>
      </c>
      <c r="O37" s="4">
        <f t="shared" si="3"/>
        <v>6.1804697156983925E-4</v>
      </c>
      <c r="P37" s="4">
        <v>0.27779999999999999</v>
      </c>
    </row>
    <row r="38" spans="1:16" x14ac:dyDescent="0.25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 t="s">
        <v>145</v>
      </c>
      <c r="G38" t="s">
        <v>414</v>
      </c>
      <c r="H38">
        <v>10206</v>
      </c>
      <c r="I38">
        <v>3</v>
      </c>
      <c r="J38">
        <v>4133</v>
      </c>
      <c r="K38" s="3">
        <v>2</v>
      </c>
      <c r="L38" s="4">
        <f t="shared" si="2"/>
        <v>1.2360939431396785E-3</v>
      </c>
      <c r="M38" s="4">
        <v>0.22969999999999999</v>
      </c>
      <c r="N38" s="3">
        <v>1</v>
      </c>
      <c r="O38" s="4">
        <f t="shared" si="3"/>
        <v>6.1804697156983925E-4</v>
      </c>
      <c r="P38" s="4">
        <v>0.26040000000000002</v>
      </c>
    </row>
    <row r="39" spans="1:16" x14ac:dyDescent="0.25">
      <c r="A39" t="s">
        <v>146</v>
      </c>
      <c r="B39" t="s">
        <v>147</v>
      </c>
      <c r="C39" t="s">
        <v>60</v>
      </c>
      <c r="D39" t="s">
        <v>61</v>
      </c>
      <c r="E39" t="s">
        <v>148</v>
      </c>
      <c r="F39" t="s">
        <v>149</v>
      </c>
      <c r="G39" t="s">
        <v>414</v>
      </c>
      <c r="H39">
        <v>10207</v>
      </c>
      <c r="I39">
        <v>5</v>
      </c>
      <c r="J39">
        <v>4043</v>
      </c>
      <c r="K39" s="3">
        <v>1</v>
      </c>
      <c r="L39" s="4">
        <f t="shared" si="2"/>
        <v>6.1804697156983925E-4</v>
      </c>
      <c r="M39" s="4">
        <v>0.26910000000000001</v>
      </c>
      <c r="N39" s="3">
        <v>2</v>
      </c>
      <c r="O39" s="4">
        <f t="shared" si="3"/>
        <v>1.2360939431396785E-3</v>
      </c>
      <c r="P39" s="4">
        <v>0.2329</v>
      </c>
    </row>
    <row r="40" spans="1:16" x14ac:dyDescent="0.25">
      <c r="A40" t="s">
        <v>150</v>
      </c>
      <c r="B40" t="s">
        <v>151</v>
      </c>
      <c r="C40" t="s">
        <v>124</v>
      </c>
      <c r="D40" t="s">
        <v>125</v>
      </c>
      <c r="E40" t="s">
        <v>128</v>
      </c>
      <c r="F40" t="s">
        <v>129</v>
      </c>
      <c r="G40" s="12" t="s">
        <v>457</v>
      </c>
      <c r="H40">
        <v>10197</v>
      </c>
      <c r="I40">
        <v>1</v>
      </c>
      <c r="J40">
        <v>3421</v>
      </c>
      <c r="K40" s="3">
        <v>1</v>
      </c>
      <c r="L40" s="4">
        <f t="shared" si="2"/>
        <v>6.1804697156983925E-4</v>
      </c>
      <c r="M40" s="4">
        <v>0.25209999999999999</v>
      </c>
      <c r="N40" s="3">
        <v>0</v>
      </c>
      <c r="O40" s="4">
        <f t="shared" si="3"/>
        <v>0</v>
      </c>
      <c r="P40" s="4">
        <v>0.3337</v>
      </c>
    </row>
    <row r="41" spans="1:16" x14ac:dyDescent="0.25">
      <c r="A41" t="s">
        <v>152</v>
      </c>
      <c r="B41" t="s">
        <v>153</v>
      </c>
      <c r="C41" t="s">
        <v>28</v>
      </c>
      <c r="D41" t="s">
        <v>29</v>
      </c>
      <c r="E41" t="s">
        <v>86</v>
      </c>
      <c r="F41" t="s">
        <v>87</v>
      </c>
      <c r="G41" s="12" t="s">
        <v>458</v>
      </c>
      <c r="H41">
        <v>10203</v>
      </c>
      <c r="I41">
        <v>3</v>
      </c>
      <c r="J41">
        <v>3661</v>
      </c>
      <c r="K41" s="3">
        <v>0</v>
      </c>
      <c r="L41" s="4">
        <f t="shared" si="2"/>
        <v>0</v>
      </c>
      <c r="M41" s="4">
        <v>0.27339999999999998</v>
      </c>
      <c r="N41" s="3">
        <v>1</v>
      </c>
      <c r="O41" s="4">
        <f t="shared" si="3"/>
        <v>6.1804697156983925E-4</v>
      </c>
      <c r="P41" s="4">
        <v>0.28799999999999998</v>
      </c>
    </row>
    <row r="42" spans="1:16" x14ac:dyDescent="0.25">
      <c r="A42" s="9" t="s">
        <v>154</v>
      </c>
      <c r="B42" t="s">
        <v>428</v>
      </c>
      <c r="C42" t="s">
        <v>18</v>
      </c>
      <c r="D42" t="s">
        <v>19</v>
      </c>
      <c r="E42" t="s">
        <v>155</v>
      </c>
      <c r="F42" t="s">
        <v>434</v>
      </c>
      <c r="H42">
        <v>10202</v>
      </c>
      <c r="I42">
        <v>0</v>
      </c>
      <c r="J42">
        <v>2919</v>
      </c>
      <c r="K42" s="3">
        <v>0</v>
      </c>
      <c r="L42" s="4">
        <f t="shared" si="2"/>
        <v>0</v>
      </c>
      <c r="M42" s="4">
        <v>0.2656</v>
      </c>
      <c r="N42" s="3">
        <v>0</v>
      </c>
      <c r="O42" s="4">
        <f t="shared" si="3"/>
        <v>0</v>
      </c>
      <c r="P42" s="4">
        <v>0.27650000000000002</v>
      </c>
    </row>
    <row r="43" spans="1:16" x14ac:dyDescent="0.25">
      <c r="A43" s="8" t="s">
        <v>156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459</v>
      </c>
      <c r="H43">
        <v>10207</v>
      </c>
      <c r="I43">
        <v>0</v>
      </c>
      <c r="J43">
        <v>3838</v>
      </c>
      <c r="K43" s="3">
        <v>0</v>
      </c>
      <c r="L43" s="4">
        <f t="shared" si="2"/>
        <v>0</v>
      </c>
      <c r="M43" s="4">
        <v>0.25779999999999997</v>
      </c>
      <c r="N43" s="3">
        <v>4</v>
      </c>
      <c r="O43" s="4">
        <f t="shared" si="3"/>
        <v>2.472187886279357E-3</v>
      </c>
      <c r="P43" s="4">
        <v>0.2278</v>
      </c>
    </row>
    <row r="44" spans="1:16" x14ac:dyDescent="0.25">
      <c r="A44" t="s">
        <v>162</v>
      </c>
      <c r="B44" t="s">
        <v>163</v>
      </c>
      <c r="C44" t="s">
        <v>164</v>
      </c>
      <c r="D44" t="s">
        <v>165</v>
      </c>
      <c r="E44" t="s">
        <v>166</v>
      </c>
      <c r="F44" t="s">
        <v>167</v>
      </c>
      <c r="G44" s="12" t="s">
        <v>460</v>
      </c>
      <c r="H44">
        <v>10207</v>
      </c>
      <c r="I44">
        <v>5</v>
      </c>
      <c r="J44">
        <v>2996</v>
      </c>
      <c r="K44" s="3">
        <v>2</v>
      </c>
      <c r="L44" s="4">
        <f t="shared" si="2"/>
        <v>1.2360939431396785E-3</v>
      </c>
      <c r="M44" s="4">
        <v>0.23350000000000001</v>
      </c>
      <c r="N44" s="3">
        <v>0</v>
      </c>
      <c r="O44" s="4">
        <f t="shared" si="3"/>
        <v>0</v>
      </c>
      <c r="P44" s="4">
        <v>0.2505</v>
      </c>
    </row>
    <row r="45" spans="1:16" x14ac:dyDescent="0.25">
      <c r="A45" t="s">
        <v>168</v>
      </c>
      <c r="B45" t="s">
        <v>169</v>
      </c>
      <c r="C45" t="s">
        <v>115</v>
      </c>
      <c r="D45" t="s">
        <v>116</v>
      </c>
      <c r="E45" t="s">
        <v>170</v>
      </c>
      <c r="F45" t="s">
        <v>171</v>
      </c>
      <c r="G45" t="s">
        <v>414</v>
      </c>
      <c r="H45">
        <v>10201</v>
      </c>
      <c r="I45">
        <v>2</v>
      </c>
      <c r="J45">
        <v>3258</v>
      </c>
      <c r="K45" s="3">
        <v>0</v>
      </c>
      <c r="L45" s="4">
        <f t="shared" si="2"/>
        <v>0</v>
      </c>
      <c r="M45" s="4">
        <v>0.25330000000000003</v>
      </c>
      <c r="N45" s="3">
        <v>2</v>
      </c>
      <c r="O45" s="4">
        <f t="shared" si="3"/>
        <v>1.2360939431396785E-3</v>
      </c>
      <c r="P45" s="4">
        <v>0.25659999999999999</v>
      </c>
    </row>
    <row r="46" spans="1:16" x14ac:dyDescent="0.25">
      <c r="A46" t="s">
        <v>172</v>
      </c>
      <c r="B46" t="s">
        <v>173</v>
      </c>
      <c r="C46" t="s">
        <v>174</v>
      </c>
      <c r="D46" t="s">
        <v>175</v>
      </c>
      <c r="E46" t="s">
        <v>176</v>
      </c>
      <c r="F46" t="s">
        <v>177</v>
      </c>
      <c r="G46" t="s">
        <v>414</v>
      </c>
      <c r="H46">
        <v>10207</v>
      </c>
      <c r="I46">
        <v>2</v>
      </c>
      <c r="J46">
        <v>4275</v>
      </c>
      <c r="K46" s="3">
        <v>1</v>
      </c>
      <c r="L46" s="4">
        <f t="shared" si="2"/>
        <v>6.1804697156983925E-4</v>
      </c>
      <c r="M46" s="4">
        <v>0.22889999999999999</v>
      </c>
      <c r="N46" s="3">
        <v>1</v>
      </c>
      <c r="O46" s="4">
        <f t="shared" si="3"/>
        <v>6.1804697156983925E-4</v>
      </c>
      <c r="P46" s="4">
        <v>0.2311</v>
      </c>
    </row>
    <row r="47" spans="1:16" s="8" customFormat="1" x14ac:dyDescent="0.25">
      <c r="A47" s="8" t="s">
        <v>174</v>
      </c>
      <c r="B47" s="8" t="s">
        <v>175</v>
      </c>
      <c r="C47" s="8" t="s">
        <v>115</v>
      </c>
      <c r="D47" s="8" t="s">
        <v>116</v>
      </c>
      <c r="E47" s="8" t="s">
        <v>60</v>
      </c>
      <c r="F47" s="8" t="s">
        <v>61</v>
      </c>
      <c r="G47" s="8" t="s">
        <v>462</v>
      </c>
      <c r="H47" s="8">
        <v>10207</v>
      </c>
      <c r="I47" s="8">
        <v>5</v>
      </c>
      <c r="J47" s="8">
        <v>3413</v>
      </c>
      <c r="K47" s="10">
        <v>5</v>
      </c>
      <c r="L47" s="11">
        <f t="shared" si="2"/>
        <v>3.0902348578491965E-3</v>
      </c>
      <c r="M47" s="11">
        <v>0.24079999999999999</v>
      </c>
      <c r="N47" s="10">
        <v>0</v>
      </c>
      <c r="O47" s="11">
        <f t="shared" si="3"/>
        <v>0</v>
      </c>
      <c r="P47" s="11">
        <v>0.25290000000000001</v>
      </c>
    </row>
    <row r="48" spans="1:16" s="8" customFormat="1" x14ac:dyDescent="0.25">
      <c r="A48" s="8" t="s">
        <v>178</v>
      </c>
      <c r="B48" s="8" t="s">
        <v>179</v>
      </c>
      <c r="C48" s="8" t="s">
        <v>180</v>
      </c>
      <c r="D48" s="8" t="s">
        <v>461</v>
      </c>
      <c r="E48" s="8" t="s">
        <v>18</v>
      </c>
      <c r="F48" s="8" t="s">
        <v>19</v>
      </c>
      <c r="G48" s="8" t="s">
        <v>463</v>
      </c>
      <c r="H48" s="8">
        <v>10207</v>
      </c>
      <c r="I48" s="8">
        <v>1</v>
      </c>
      <c r="J48" s="8">
        <v>3189</v>
      </c>
      <c r="K48" s="10">
        <v>1</v>
      </c>
      <c r="L48" s="11">
        <f t="shared" si="2"/>
        <v>6.1804697156983925E-4</v>
      </c>
      <c r="M48" s="11">
        <v>0.24629999999999999</v>
      </c>
      <c r="N48" s="10">
        <v>0</v>
      </c>
      <c r="O48" s="11">
        <f t="shared" si="3"/>
        <v>0</v>
      </c>
      <c r="P48" s="11">
        <v>0.28260000000000002</v>
      </c>
    </row>
    <row r="49" spans="1:16" x14ac:dyDescent="0.25">
      <c r="A49" t="s">
        <v>54</v>
      </c>
      <c r="B49" t="s">
        <v>55</v>
      </c>
      <c r="C49" t="s">
        <v>181</v>
      </c>
      <c r="D49" t="s">
        <v>182</v>
      </c>
      <c r="E49" t="s">
        <v>170</v>
      </c>
      <c r="F49" t="s">
        <v>171</v>
      </c>
      <c r="G49" t="s">
        <v>414</v>
      </c>
      <c r="H49">
        <v>10193</v>
      </c>
      <c r="I49">
        <v>1</v>
      </c>
      <c r="J49">
        <v>3288</v>
      </c>
      <c r="K49" s="3">
        <v>1</v>
      </c>
      <c r="L49" s="4">
        <f t="shared" si="2"/>
        <v>6.1804697156983925E-4</v>
      </c>
      <c r="M49" s="4">
        <v>0.26069999999999999</v>
      </c>
      <c r="N49" s="3">
        <v>2</v>
      </c>
      <c r="O49" s="4">
        <f t="shared" si="3"/>
        <v>1.2360939431396785E-3</v>
      </c>
      <c r="P49" s="4">
        <v>0.26090000000000002</v>
      </c>
    </row>
    <row r="50" spans="1:16" x14ac:dyDescent="0.25">
      <c r="A50" t="s">
        <v>183</v>
      </c>
      <c r="B50" t="s">
        <v>184</v>
      </c>
      <c r="C50" t="s">
        <v>180</v>
      </c>
      <c r="D50" t="s">
        <v>461</v>
      </c>
      <c r="E50" t="s">
        <v>25</v>
      </c>
      <c r="F50" t="s">
        <v>26</v>
      </c>
      <c r="G50" t="s">
        <v>414</v>
      </c>
      <c r="H50">
        <v>10201</v>
      </c>
      <c r="I50">
        <v>2</v>
      </c>
      <c r="J50">
        <v>3246</v>
      </c>
      <c r="K50" s="3">
        <v>1</v>
      </c>
      <c r="L50" s="4">
        <f t="shared" si="2"/>
        <v>6.1804697156983925E-4</v>
      </c>
      <c r="M50" s="4">
        <v>0.24349999999999999</v>
      </c>
      <c r="N50" s="3">
        <v>0</v>
      </c>
      <c r="O50" s="4">
        <f t="shared" si="3"/>
        <v>0</v>
      </c>
      <c r="P50" s="4">
        <v>0.27010000000000001</v>
      </c>
    </row>
    <row r="51" spans="1:16" s="8" customFormat="1" x14ac:dyDescent="0.25">
      <c r="A51" s="8" t="s">
        <v>185</v>
      </c>
      <c r="B51" s="8" t="s">
        <v>186</v>
      </c>
      <c r="C51" s="8" t="s">
        <v>124</v>
      </c>
      <c r="D51" s="8" t="s">
        <v>125</v>
      </c>
      <c r="E51" s="8" t="s">
        <v>187</v>
      </c>
      <c r="F51" s="8" t="s">
        <v>188</v>
      </c>
      <c r="G51" s="8" t="s">
        <v>464</v>
      </c>
      <c r="H51" s="8">
        <v>10207</v>
      </c>
      <c r="I51" s="8">
        <v>5</v>
      </c>
      <c r="J51" s="8">
        <v>3325</v>
      </c>
      <c r="K51" s="10">
        <v>3</v>
      </c>
      <c r="L51" s="11">
        <f t="shared" si="2"/>
        <v>1.854140914709518E-3</v>
      </c>
      <c r="M51" s="11">
        <v>0.23449999999999999</v>
      </c>
      <c r="N51" s="10">
        <v>2</v>
      </c>
      <c r="O51" s="11">
        <f t="shared" si="3"/>
        <v>1.2360939431396785E-3</v>
      </c>
      <c r="P51" s="11">
        <v>0.25</v>
      </c>
    </row>
    <row r="52" spans="1:16" x14ac:dyDescent="0.25">
      <c r="A52" t="s">
        <v>189</v>
      </c>
      <c r="B52" t="s">
        <v>190</v>
      </c>
      <c r="C52" t="s">
        <v>191</v>
      </c>
      <c r="D52" t="s">
        <v>192</v>
      </c>
      <c r="E52" t="s">
        <v>193</v>
      </c>
      <c r="F52" t="s">
        <v>194</v>
      </c>
      <c r="G52" t="s">
        <v>414</v>
      </c>
      <c r="H52">
        <v>10200</v>
      </c>
      <c r="I52">
        <v>4</v>
      </c>
      <c r="J52">
        <v>3473</v>
      </c>
      <c r="K52" s="3">
        <v>0</v>
      </c>
      <c r="L52" s="4">
        <f t="shared" si="2"/>
        <v>0</v>
      </c>
      <c r="M52" s="4">
        <v>0.27760000000000001</v>
      </c>
      <c r="N52" s="3">
        <v>1</v>
      </c>
      <c r="O52" s="4">
        <f t="shared" si="3"/>
        <v>6.1804697156983925E-4</v>
      </c>
      <c r="P52" s="4">
        <v>0.26369999999999999</v>
      </c>
    </row>
    <row r="53" spans="1:16" x14ac:dyDescent="0.25">
      <c r="A53" t="s">
        <v>195</v>
      </c>
      <c r="B53" t="s">
        <v>196</v>
      </c>
      <c r="C53" t="s">
        <v>197</v>
      </c>
      <c r="D53" t="s">
        <v>198</v>
      </c>
      <c r="E53" t="s">
        <v>148</v>
      </c>
      <c r="F53" t="s">
        <v>149</v>
      </c>
      <c r="G53" t="s">
        <v>414</v>
      </c>
      <c r="H53">
        <v>10204</v>
      </c>
      <c r="I53">
        <v>3</v>
      </c>
      <c r="J53">
        <v>3810</v>
      </c>
      <c r="K53" s="3">
        <v>0</v>
      </c>
      <c r="L53" s="4">
        <f t="shared" si="2"/>
        <v>0</v>
      </c>
      <c r="M53" s="4">
        <v>0.28639999999999999</v>
      </c>
      <c r="N53" s="3">
        <v>3</v>
      </c>
      <c r="O53" s="4">
        <f t="shared" si="3"/>
        <v>1.854140914709518E-3</v>
      </c>
      <c r="P53" s="4">
        <v>0.22020000000000001</v>
      </c>
    </row>
    <row r="54" spans="1:16" x14ac:dyDescent="0.25">
      <c r="A54" t="s">
        <v>199</v>
      </c>
      <c r="B54" t="s">
        <v>200</v>
      </c>
      <c r="C54" t="s">
        <v>38</v>
      </c>
      <c r="D54" t="s">
        <v>39</v>
      </c>
      <c r="E54" t="s">
        <v>201</v>
      </c>
      <c r="F54" t="s">
        <v>202</v>
      </c>
      <c r="G54" t="s">
        <v>414</v>
      </c>
      <c r="H54">
        <v>10206</v>
      </c>
      <c r="I54">
        <v>2</v>
      </c>
      <c r="J54">
        <v>3876</v>
      </c>
      <c r="K54" s="3">
        <v>2</v>
      </c>
      <c r="L54" s="4">
        <f t="shared" si="2"/>
        <v>1.2360939431396785E-3</v>
      </c>
      <c r="M54" s="4">
        <v>0.2782</v>
      </c>
      <c r="N54" s="3">
        <v>0</v>
      </c>
      <c r="O54" s="4">
        <f t="shared" si="3"/>
        <v>0</v>
      </c>
      <c r="P54" s="4">
        <v>0.26340000000000002</v>
      </c>
    </row>
    <row r="55" spans="1:16" s="8" customFormat="1" x14ac:dyDescent="0.25">
      <c r="A55" s="8" t="s">
        <v>203</v>
      </c>
      <c r="B55" s="8" t="s">
        <v>204</v>
      </c>
      <c r="C55" s="8" t="s">
        <v>205</v>
      </c>
      <c r="D55" s="8" t="s">
        <v>465</v>
      </c>
      <c r="E55" s="8" t="s">
        <v>206</v>
      </c>
      <c r="F55" s="8" t="s">
        <v>207</v>
      </c>
      <c r="G55" s="8" t="s">
        <v>466</v>
      </c>
      <c r="H55" s="8">
        <v>10207</v>
      </c>
      <c r="I55" s="8">
        <v>2</v>
      </c>
      <c r="J55" s="8">
        <v>3327</v>
      </c>
      <c r="K55" s="10">
        <v>2</v>
      </c>
      <c r="L55" s="11">
        <f t="shared" si="2"/>
        <v>1.2360939431396785E-3</v>
      </c>
      <c r="M55" s="11">
        <v>0.28910000000000002</v>
      </c>
      <c r="N55" s="10">
        <v>0</v>
      </c>
      <c r="O55" s="11">
        <f t="shared" si="3"/>
        <v>0</v>
      </c>
      <c r="P55" s="11">
        <v>0.2878</v>
      </c>
    </row>
    <row r="56" spans="1:16" s="8" customFormat="1" x14ac:dyDescent="0.25">
      <c r="A56" s="8" t="s">
        <v>208</v>
      </c>
      <c r="B56" s="8" t="s">
        <v>209</v>
      </c>
      <c r="C56" s="8" t="s">
        <v>210</v>
      </c>
      <c r="D56" s="8" t="s">
        <v>211</v>
      </c>
      <c r="E56" s="8" t="s">
        <v>212</v>
      </c>
      <c r="F56" s="8" t="s">
        <v>213</v>
      </c>
      <c r="G56" s="8" t="s">
        <v>467</v>
      </c>
      <c r="H56" s="8">
        <v>10207</v>
      </c>
      <c r="I56" s="8">
        <v>1</v>
      </c>
      <c r="J56" s="8">
        <v>3544</v>
      </c>
      <c r="K56" s="10">
        <v>0</v>
      </c>
      <c r="L56" s="11">
        <f t="shared" si="2"/>
        <v>0</v>
      </c>
      <c r="M56" s="11">
        <v>0.2384</v>
      </c>
      <c r="N56" s="10">
        <v>0</v>
      </c>
      <c r="O56" s="11">
        <f t="shared" si="3"/>
        <v>0</v>
      </c>
      <c r="P56" s="11">
        <v>0.29559999999999997</v>
      </c>
    </row>
    <row r="57" spans="1:16" x14ac:dyDescent="0.25">
      <c r="A57" t="s">
        <v>214</v>
      </c>
      <c r="B57" t="s">
        <v>215</v>
      </c>
      <c r="C57" t="s">
        <v>216</v>
      </c>
      <c r="D57" t="s">
        <v>217</v>
      </c>
      <c r="E57" t="s">
        <v>97</v>
      </c>
      <c r="F57" t="s">
        <v>98</v>
      </c>
      <c r="G57" t="s">
        <v>414</v>
      </c>
      <c r="H57">
        <v>10204</v>
      </c>
      <c r="I57">
        <v>1</v>
      </c>
      <c r="J57">
        <v>3398</v>
      </c>
      <c r="K57" s="3">
        <v>0</v>
      </c>
      <c r="L57" s="4">
        <f t="shared" si="2"/>
        <v>0</v>
      </c>
      <c r="M57" s="4">
        <v>0.25650000000000001</v>
      </c>
      <c r="N57" s="3">
        <v>1</v>
      </c>
      <c r="O57" s="4">
        <f t="shared" si="3"/>
        <v>6.1804697156983925E-4</v>
      </c>
      <c r="P57" s="4">
        <v>0.27829999999999999</v>
      </c>
    </row>
    <row r="58" spans="1:16" x14ac:dyDescent="0.25">
      <c r="A58" t="s">
        <v>218</v>
      </c>
      <c r="B58" t="s">
        <v>424</v>
      </c>
      <c r="C58" t="s">
        <v>115</v>
      </c>
      <c r="D58" t="s">
        <v>116</v>
      </c>
      <c r="E58" t="s">
        <v>170</v>
      </c>
      <c r="F58" t="s">
        <v>171</v>
      </c>
      <c r="H58">
        <v>10201</v>
      </c>
      <c r="I58">
        <v>3</v>
      </c>
      <c r="J58">
        <v>3237</v>
      </c>
      <c r="K58" s="3">
        <v>2</v>
      </c>
      <c r="L58" s="4">
        <f t="shared" si="2"/>
        <v>1.2360939431396785E-3</v>
      </c>
      <c r="M58" s="4">
        <v>0.23780000000000001</v>
      </c>
      <c r="N58" s="3">
        <v>1</v>
      </c>
      <c r="O58" s="4">
        <f t="shared" si="3"/>
        <v>6.1804697156983925E-4</v>
      </c>
      <c r="P58" s="4">
        <v>0.27760000000000001</v>
      </c>
    </row>
    <row r="59" spans="1:16" s="8" customFormat="1" x14ac:dyDescent="0.25">
      <c r="A59" s="8" t="s">
        <v>219</v>
      </c>
      <c r="B59" s="8" t="s">
        <v>468</v>
      </c>
      <c r="C59" s="8" t="s">
        <v>28</v>
      </c>
      <c r="D59" s="8" t="s">
        <v>29</v>
      </c>
      <c r="E59" s="8" t="s">
        <v>94</v>
      </c>
      <c r="F59" s="8" t="s">
        <v>448</v>
      </c>
      <c r="G59" s="8" t="s">
        <v>469</v>
      </c>
      <c r="H59" s="8">
        <v>10205</v>
      </c>
      <c r="I59" s="8">
        <v>5</v>
      </c>
      <c r="J59" s="8">
        <v>3079</v>
      </c>
      <c r="K59" s="10">
        <v>4</v>
      </c>
      <c r="L59" s="11">
        <f t="shared" si="2"/>
        <v>2.472187886279357E-3</v>
      </c>
      <c r="M59" s="11">
        <v>0.25929999999999997</v>
      </c>
      <c r="N59" s="10">
        <v>0</v>
      </c>
      <c r="O59" s="11">
        <f t="shared" si="3"/>
        <v>0</v>
      </c>
      <c r="P59" s="11">
        <v>0.24129999999999999</v>
      </c>
    </row>
    <row r="60" spans="1:16" s="8" customFormat="1" x14ac:dyDescent="0.25">
      <c r="A60" s="8" t="s">
        <v>220</v>
      </c>
      <c r="B60" s="8" t="s">
        <v>221</v>
      </c>
      <c r="C60" s="8" t="s">
        <v>222</v>
      </c>
      <c r="D60" s="8" t="s">
        <v>223</v>
      </c>
      <c r="E60" s="8" t="s">
        <v>224</v>
      </c>
      <c r="F60" s="8" t="s">
        <v>225</v>
      </c>
      <c r="G60" s="8" t="s">
        <v>470</v>
      </c>
      <c r="H60" s="8">
        <v>10207</v>
      </c>
      <c r="I60" s="8">
        <v>1</v>
      </c>
      <c r="J60" s="8">
        <v>3916</v>
      </c>
      <c r="K60" s="10">
        <v>1</v>
      </c>
      <c r="L60" s="11">
        <f t="shared" si="2"/>
        <v>6.1804697156983925E-4</v>
      </c>
      <c r="M60" s="11">
        <v>0.28799999999999998</v>
      </c>
      <c r="N60" s="10">
        <v>2</v>
      </c>
      <c r="O60" s="11">
        <f t="shared" si="3"/>
        <v>1.2360939431396785E-3</v>
      </c>
      <c r="P60" s="11">
        <v>0.2782</v>
      </c>
    </row>
    <row r="61" spans="1:16" s="8" customFormat="1" x14ac:dyDescent="0.25">
      <c r="A61" s="8" t="s">
        <v>226</v>
      </c>
      <c r="B61" s="8" t="s">
        <v>227</v>
      </c>
      <c r="C61" s="8" t="s">
        <v>191</v>
      </c>
      <c r="D61" s="8" t="s">
        <v>192</v>
      </c>
      <c r="E61" s="8" t="s">
        <v>228</v>
      </c>
      <c r="F61" s="8" t="s">
        <v>229</v>
      </c>
      <c r="G61" s="8" t="s">
        <v>471</v>
      </c>
      <c r="H61" s="8">
        <v>10200</v>
      </c>
      <c r="I61" s="8">
        <v>0</v>
      </c>
      <c r="J61" s="8">
        <v>3611</v>
      </c>
      <c r="K61" s="10">
        <v>0</v>
      </c>
      <c r="L61" s="11">
        <f t="shared" si="2"/>
        <v>0</v>
      </c>
      <c r="M61" s="11">
        <v>0.2596</v>
      </c>
      <c r="N61" s="10">
        <v>3</v>
      </c>
      <c r="O61" s="11">
        <f t="shared" si="3"/>
        <v>1.854140914709518E-3</v>
      </c>
      <c r="P61" s="11">
        <v>0.27289999999999998</v>
      </c>
    </row>
    <row r="62" spans="1:16" x14ac:dyDescent="0.25">
      <c r="A62" t="s">
        <v>230</v>
      </c>
      <c r="B62" t="s">
        <v>231</v>
      </c>
      <c r="C62" t="s">
        <v>38</v>
      </c>
      <c r="D62" t="s">
        <v>39</v>
      </c>
      <c r="E62" t="s">
        <v>232</v>
      </c>
      <c r="F62" t="s">
        <v>233</v>
      </c>
      <c r="G62" t="s">
        <v>414</v>
      </c>
      <c r="H62">
        <v>10206</v>
      </c>
      <c r="I62">
        <v>4</v>
      </c>
      <c r="J62">
        <v>3872</v>
      </c>
      <c r="K62" s="3">
        <v>1</v>
      </c>
      <c r="L62" s="4">
        <f t="shared" si="2"/>
        <v>6.1804697156983925E-4</v>
      </c>
      <c r="M62" s="4">
        <v>0.23980000000000001</v>
      </c>
      <c r="N62" s="3">
        <v>3</v>
      </c>
      <c r="O62" s="4">
        <f t="shared" si="3"/>
        <v>1.854140914709518E-3</v>
      </c>
      <c r="P62" s="4">
        <v>0.25490000000000002</v>
      </c>
    </row>
    <row r="63" spans="1:16" x14ac:dyDescent="0.25">
      <c r="A63" t="s">
        <v>234</v>
      </c>
      <c r="B63" t="s">
        <v>235</v>
      </c>
      <c r="C63" t="s">
        <v>236</v>
      </c>
      <c r="D63" t="s">
        <v>237</v>
      </c>
      <c r="E63" t="s">
        <v>238</v>
      </c>
      <c r="F63" t="s">
        <v>239</v>
      </c>
      <c r="G63" t="s">
        <v>414</v>
      </c>
      <c r="H63">
        <v>10202</v>
      </c>
      <c r="I63">
        <v>5</v>
      </c>
      <c r="J63">
        <v>3351</v>
      </c>
      <c r="K63" s="3">
        <v>3</v>
      </c>
      <c r="L63" s="4">
        <f t="shared" si="2"/>
        <v>1.854140914709518E-3</v>
      </c>
      <c r="M63" s="4">
        <v>0.2467</v>
      </c>
      <c r="N63" s="3">
        <v>2</v>
      </c>
      <c r="O63" s="4">
        <f t="shared" si="3"/>
        <v>1.2360939431396785E-3</v>
      </c>
      <c r="P63" s="4">
        <v>0.27439999999999998</v>
      </c>
    </row>
    <row r="64" spans="1:16" x14ac:dyDescent="0.25">
      <c r="A64" t="s">
        <v>240</v>
      </c>
      <c r="B64" t="s">
        <v>241</v>
      </c>
      <c r="C64" t="s">
        <v>58</v>
      </c>
      <c r="D64" t="s">
        <v>59</v>
      </c>
      <c r="E64" t="s">
        <v>242</v>
      </c>
      <c r="F64" t="s">
        <v>243</v>
      </c>
      <c r="G64" t="s">
        <v>414</v>
      </c>
      <c r="H64">
        <v>10207</v>
      </c>
      <c r="I64">
        <v>5</v>
      </c>
      <c r="J64">
        <v>3601</v>
      </c>
      <c r="K64" s="3">
        <v>2</v>
      </c>
      <c r="L64" s="4">
        <f t="shared" si="2"/>
        <v>1.2360939431396785E-3</v>
      </c>
      <c r="M64" s="4">
        <v>0.26090000000000002</v>
      </c>
      <c r="N64" s="3">
        <v>0</v>
      </c>
      <c r="O64" s="4">
        <f t="shared" si="3"/>
        <v>0</v>
      </c>
      <c r="P64" s="4">
        <v>0.27050000000000002</v>
      </c>
    </row>
    <row r="65" spans="1:16" x14ac:dyDescent="0.25">
      <c r="A65" t="s">
        <v>244</v>
      </c>
      <c r="B65" s="5" t="s">
        <v>423</v>
      </c>
      <c r="C65" t="s">
        <v>212</v>
      </c>
      <c r="D65" t="s">
        <v>213</v>
      </c>
      <c r="E65" t="s">
        <v>128</v>
      </c>
      <c r="F65" t="s">
        <v>129</v>
      </c>
      <c r="G65" t="s">
        <v>414</v>
      </c>
      <c r="H65">
        <v>10207</v>
      </c>
      <c r="I65">
        <v>4</v>
      </c>
      <c r="J65">
        <v>3677</v>
      </c>
      <c r="K65" s="3">
        <v>2</v>
      </c>
      <c r="L65" s="4">
        <f t="shared" si="2"/>
        <v>1.2360939431396785E-3</v>
      </c>
      <c r="M65" s="4">
        <v>0.2198</v>
      </c>
      <c r="N65" s="3">
        <v>1</v>
      </c>
      <c r="O65" s="4">
        <f t="shared" si="3"/>
        <v>6.1804697156983925E-4</v>
      </c>
      <c r="P65" s="4">
        <v>0.20849999999999999</v>
      </c>
    </row>
    <row r="66" spans="1:16" s="8" customFormat="1" x14ac:dyDescent="0.25">
      <c r="A66" s="8" t="s">
        <v>245</v>
      </c>
      <c r="B66" s="8" t="s">
        <v>246</v>
      </c>
      <c r="C66" s="8" t="s">
        <v>18</v>
      </c>
      <c r="D66" s="8" t="s">
        <v>19</v>
      </c>
      <c r="E66" s="8" t="s">
        <v>20</v>
      </c>
      <c r="F66" s="8" t="s">
        <v>442</v>
      </c>
      <c r="G66" s="8" t="s">
        <v>414</v>
      </c>
      <c r="H66" s="8">
        <v>10207</v>
      </c>
      <c r="I66" s="8">
        <v>1</v>
      </c>
      <c r="J66" s="8">
        <v>3215</v>
      </c>
      <c r="K66" s="10">
        <v>1</v>
      </c>
      <c r="L66" s="11">
        <f t="shared" si="2"/>
        <v>6.1804697156983925E-4</v>
      </c>
      <c r="M66" s="11">
        <v>0.27439999999999998</v>
      </c>
      <c r="N66" s="10">
        <v>0</v>
      </c>
      <c r="O66" s="11">
        <f t="shared" si="3"/>
        <v>0</v>
      </c>
      <c r="P66" s="11">
        <v>0.25779999999999997</v>
      </c>
    </row>
    <row r="67" spans="1:16" s="8" customFormat="1" x14ac:dyDescent="0.25">
      <c r="A67" s="8" t="s">
        <v>247</v>
      </c>
      <c r="B67" s="8" t="s">
        <v>472</v>
      </c>
      <c r="C67" s="8" t="s">
        <v>248</v>
      </c>
      <c r="D67" s="8" t="s">
        <v>249</v>
      </c>
      <c r="E67" s="8" t="s">
        <v>250</v>
      </c>
      <c r="F67" s="8" t="s">
        <v>437</v>
      </c>
      <c r="G67" s="8" t="s">
        <v>439</v>
      </c>
      <c r="H67" s="8">
        <v>10188</v>
      </c>
      <c r="I67" s="8">
        <v>1</v>
      </c>
      <c r="J67" s="8">
        <v>3479</v>
      </c>
      <c r="K67" s="10">
        <v>0</v>
      </c>
      <c r="L67" s="11">
        <f t="shared" si="2"/>
        <v>0</v>
      </c>
      <c r="M67" s="11">
        <v>0.23080000000000001</v>
      </c>
      <c r="N67" s="10">
        <v>1</v>
      </c>
      <c r="O67" s="11">
        <f t="shared" si="3"/>
        <v>6.1804697156983925E-4</v>
      </c>
      <c r="P67" s="11">
        <v>0.25209999999999999</v>
      </c>
    </row>
    <row r="68" spans="1:16" s="8" customFormat="1" x14ac:dyDescent="0.25">
      <c r="A68" s="8" t="s">
        <v>251</v>
      </c>
      <c r="B68" s="8" t="s">
        <v>252</v>
      </c>
      <c r="C68" s="8" t="s">
        <v>95</v>
      </c>
      <c r="D68" s="8" t="s">
        <v>96</v>
      </c>
      <c r="E68" s="8" t="s">
        <v>253</v>
      </c>
      <c r="F68" s="8" t="s">
        <v>254</v>
      </c>
      <c r="G68" s="8" t="s">
        <v>473</v>
      </c>
      <c r="H68" s="8">
        <v>10207</v>
      </c>
      <c r="I68" s="8">
        <v>1</v>
      </c>
      <c r="J68" s="8">
        <v>3421</v>
      </c>
      <c r="K68" s="10">
        <v>0</v>
      </c>
      <c r="L68" s="11">
        <f t="shared" ref="L68:L99" si="4">+K68/1618</f>
        <v>0</v>
      </c>
      <c r="M68" s="11">
        <v>0.2888</v>
      </c>
      <c r="N68" s="10">
        <v>1</v>
      </c>
      <c r="O68" s="11">
        <f t="shared" ref="O68:O99" si="5">+N68/1618</f>
        <v>6.1804697156983925E-4</v>
      </c>
      <c r="P68" s="11">
        <v>0.2843</v>
      </c>
    </row>
    <row r="69" spans="1:16" s="8" customFormat="1" x14ac:dyDescent="0.25">
      <c r="A69" s="9" t="s">
        <v>255</v>
      </c>
      <c r="B69" s="8" t="s">
        <v>256</v>
      </c>
      <c r="C69" s="8" t="s">
        <v>158</v>
      </c>
      <c r="D69" s="8" t="s">
        <v>159</v>
      </c>
      <c r="E69" s="8" t="s">
        <v>257</v>
      </c>
      <c r="F69" s="8" t="s">
        <v>258</v>
      </c>
      <c r="H69" s="8">
        <v>10207</v>
      </c>
      <c r="I69" s="8">
        <v>1</v>
      </c>
      <c r="J69" s="8">
        <v>3332</v>
      </c>
      <c r="K69" s="10">
        <v>1</v>
      </c>
      <c r="L69" s="11">
        <f t="shared" si="4"/>
        <v>6.1804697156983925E-4</v>
      </c>
      <c r="M69" s="11">
        <v>0.25540000000000002</v>
      </c>
      <c r="N69" s="10">
        <v>0</v>
      </c>
      <c r="O69" s="11">
        <f t="shared" si="5"/>
        <v>0</v>
      </c>
      <c r="P69" s="11">
        <v>0.2432</v>
      </c>
    </row>
    <row r="70" spans="1:16" x14ac:dyDescent="0.25">
      <c r="A70" t="s">
        <v>259</v>
      </c>
      <c r="B70" t="s">
        <v>260</v>
      </c>
      <c r="C70" t="s">
        <v>40</v>
      </c>
      <c r="D70" t="s">
        <v>41</v>
      </c>
      <c r="E70" t="s">
        <v>261</v>
      </c>
      <c r="F70" t="s">
        <v>262</v>
      </c>
      <c r="G70" t="s">
        <v>415</v>
      </c>
      <c r="H70">
        <v>10204</v>
      </c>
      <c r="I70">
        <v>5</v>
      </c>
      <c r="J70">
        <v>3302</v>
      </c>
      <c r="K70" s="3">
        <v>1</v>
      </c>
      <c r="L70" s="4">
        <f t="shared" si="4"/>
        <v>6.1804697156983925E-4</v>
      </c>
      <c r="M70" s="4">
        <v>0.25380000000000003</v>
      </c>
      <c r="N70" s="3">
        <v>3</v>
      </c>
      <c r="O70" s="4">
        <f t="shared" si="5"/>
        <v>1.854140914709518E-3</v>
      </c>
      <c r="P70" s="4">
        <v>0.22570000000000001</v>
      </c>
    </row>
    <row r="71" spans="1:16" s="8" customFormat="1" x14ac:dyDescent="0.25">
      <c r="A71" s="8" t="s">
        <v>263</v>
      </c>
      <c r="B71" s="8" t="s">
        <v>264</v>
      </c>
      <c r="C71" s="8" t="s">
        <v>265</v>
      </c>
      <c r="D71" s="8" t="s">
        <v>266</v>
      </c>
      <c r="E71" s="8" t="s">
        <v>267</v>
      </c>
      <c r="F71" s="8" t="s">
        <v>268</v>
      </c>
      <c r="G71" s="8" t="s">
        <v>474</v>
      </c>
      <c r="H71" s="8">
        <v>10207</v>
      </c>
      <c r="I71" s="8">
        <v>8</v>
      </c>
      <c r="J71" s="8">
        <v>3775</v>
      </c>
      <c r="K71" s="10">
        <v>5</v>
      </c>
      <c r="L71" s="11">
        <f t="shared" si="4"/>
        <v>3.0902348578491965E-3</v>
      </c>
      <c r="M71" s="11">
        <v>0.24310000000000001</v>
      </c>
      <c r="N71" s="10">
        <v>0</v>
      </c>
      <c r="O71" s="11">
        <f t="shared" si="5"/>
        <v>0</v>
      </c>
      <c r="P71" s="11">
        <v>0.26490000000000002</v>
      </c>
    </row>
    <row r="72" spans="1:16" s="8" customFormat="1" x14ac:dyDescent="0.25">
      <c r="A72" s="8" t="s">
        <v>269</v>
      </c>
      <c r="B72" s="8" t="s">
        <v>270</v>
      </c>
      <c r="C72" s="8" t="s">
        <v>18</v>
      </c>
      <c r="D72" s="8" t="s">
        <v>19</v>
      </c>
      <c r="E72" s="8" t="s">
        <v>20</v>
      </c>
      <c r="F72" s="8" t="s">
        <v>442</v>
      </c>
      <c r="G72" s="8" t="s">
        <v>414</v>
      </c>
      <c r="H72" s="8">
        <v>10207</v>
      </c>
      <c r="I72" s="8">
        <v>1</v>
      </c>
      <c r="J72" s="8">
        <v>3194</v>
      </c>
      <c r="K72" s="10">
        <v>0</v>
      </c>
      <c r="L72" s="11">
        <f t="shared" si="4"/>
        <v>0</v>
      </c>
      <c r="M72" s="11">
        <v>0.2893</v>
      </c>
      <c r="N72" s="10">
        <v>2</v>
      </c>
      <c r="O72" s="11">
        <f t="shared" si="5"/>
        <v>1.2360939431396785E-3</v>
      </c>
      <c r="P72" s="11">
        <v>0.2626</v>
      </c>
    </row>
    <row r="73" spans="1:16" s="8" customFormat="1" x14ac:dyDescent="0.25">
      <c r="A73" s="8" t="s">
        <v>271</v>
      </c>
      <c r="B73" s="8" t="s">
        <v>272</v>
      </c>
      <c r="C73" s="8" t="s">
        <v>115</v>
      </c>
      <c r="D73" s="8" t="s">
        <v>116</v>
      </c>
      <c r="E73" s="8" t="s">
        <v>273</v>
      </c>
      <c r="F73" s="8" t="s">
        <v>274</v>
      </c>
      <c r="G73" s="8" t="s">
        <v>475</v>
      </c>
      <c r="H73" s="8">
        <v>10206</v>
      </c>
      <c r="I73" s="8">
        <v>2</v>
      </c>
      <c r="J73" s="8">
        <v>2917</v>
      </c>
      <c r="K73" s="10">
        <v>0</v>
      </c>
      <c r="L73" s="11">
        <f t="shared" si="4"/>
        <v>0</v>
      </c>
      <c r="M73" s="11">
        <v>0.2472</v>
      </c>
      <c r="N73" s="10">
        <v>1</v>
      </c>
      <c r="O73" s="11">
        <f t="shared" si="5"/>
        <v>6.1804697156983925E-4</v>
      </c>
      <c r="P73" s="11">
        <v>0.2329</v>
      </c>
    </row>
    <row r="74" spans="1:16" s="8" customFormat="1" x14ac:dyDescent="0.25">
      <c r="A74" s="8" t="s">
        <v>275</v>
      </c>
      <c r="B74" s="8" t="s">
        <v>276</v>
      </c>
      <c r="C74" s="8" t="s">
        <v>253</v>
      </c>
      <c r="D74" s="8" t="s">
        <v>254</v>
      </c>
      <c r="E74" s="8" t="s">
        <v>212</v>
      </c>
      <c r="F74" s="8" t="s">
        <v>213</v>
      </c>
      <c r="G74" s="8" t="s">
        <v>476</v>
      </c>
      <c r="H74" s="8">
        <v>10207</v>
      </c>
      <c r="I74" s="8">
        <v>4</v>
      </c>
      <c r="J74" s="8">
        <v>3753</v>
      </c>
      <c r="K74" s="10">
        <v>1</v>
      </c>
      <c r="L74" s="11">
        <f t="shared" si="4"/>
        <v>6.1804697156983925E-4</v>
      </c>
      <c r="M74" s="11">
        <v>0.24740000000000001</v>
      </c>
      <c r="N74" s="10">
        <v>3</v>
      </c>
      <c r="O74" s="11">
        <f t="shared" si="5"/>
        <v>1.854140914709518E-3</v>
      </c>
      <c r="P74" s="11">
        <v>0.25009999999999999</v>
      </c>
    </row>
    <row r="75" spans="1:16" s="8" customFormat="1" x14ac:dyDescent="0.25">
      <c r="A75" s="8" t="s">
        <v>277</v>
      </c>
      <c r="B75" s="8" t="s">
        <v>278</v>
      </c>
      <c r="C75" s="8" t="s">
        <v>279</v>
      </c>
      <c r="D75" s="8" t="s">
        <v>280</v>
      </c>
      <c r="E75" s="8" t="s">
        <v>281</v>
      </c>
      <c r="F75" s="8" t="s">
        <v>282</v>
      </c>
      <c r="G75" s="8" t="s">
        <v>414</v>
      </c>
      <c r="H75" s="8">
        <v>10207</v>
      </c>
      <c r="I75" s="8">
        <v>1</v>
      </c>
      <c r="J75" s="8">
        <v>3899</v>
      </c>
      <c r="K75" s="10">
        <v>1</v>
      </c>
      <c r="L75" s="11">
        <f t="shared" si="4"/>
        <v>6.1804697156983925E-4</v>
      </c>
      <c r="M75" s="11">
        <v>0.24490000000000001</v>
      </c>
      <c r="N75" s="10">
        <v>0</v>
      </c>
      <c r="O75" s="11">
        <f t="shared" si="5"/>
        <v>0</v>
      </c>
      <c r="P75" s="11">
        <v>0.25259999999999999</v>
      </c>
    </row>
    <row r="76" spans="1:16" s="8" customFormat="1" x14ac:dyDescent="0.25">
      <c r="A76" s="9" t="s">
        <v>283</v>
      </c>
      <c r="B76" s="8" t="s">
        <v>477</v>
      </c>
      <c r="C76" s="8" t="s">
        <v>284</v>
      </c>
      <c r="D76" s="8" t="s">
        <v>285</v>
      </c>
      <c r="E76" s="8" t="s">
        <v>286</v>
      </c>
      <c r="F76" s="8" t="s">
        <v>478</v>
      </c>
      <c r="H76" s="8">
        <v>10199</v>
      </c>
      <c r="I76" s="8">
        <v>7</v>
      </c>
      <c r="J76" s="8">
        <v>3162</v>
      </c>
      <c r="K76" s="10">
        <v>5</v>
      </c>
      <c r="L76" s="11">
        <f t="shared" si="4"/>
        <v>3.0902348578491965E-3</v>
      </c>
      <c r="M76" s="11">
        <v>0.24909999999999999</v>
      </c>
      <c r="N76" s="10">
        <v>4</v>
      </c>
      <c r="O76" s="11">
        <f t="shared" si="5"/>
        <v>2.472187886279357E-3</v>
      </c>
      <c r="P76" s="11">
        <v>0.22950000000000001</v>
      </c>
    </row>
    <row r="77" spans="1:16" x14ac:dyDescent="0.25">
      <c r="A77" t="s">
        <v>287</v>
      </c>
      <c r="B77" t="s">
        <v>431</v>
      </c>
      <c r="C77" t="s">
        <v>124</v>
      </c>
      <c r="D77" t="s">
        <v>125</v>
      </c>
      <c r="E77" t="s">
        <v>18</v>
      </c>
      <c r="F77" t="s">
        <v>19</v>
      </c>
      <c r="G77" t="s">
        <v>288</v>
      </c>
      <c r="H77">
        <v>10203</v>
      </c>
      <c r="I77">
        <v>1</v>
      </c>
      <c r="J77">
        <v>2948</v>
      </c>
      <c r="K77" s="3">
        <v>1</v>
      </c>
      <c r="L77" s="4">
        <f t="shared" si="4"/>
        <v>6.1804697156983925E-4</v>
      </c>
      <c r="M77" s="4">
        <v>0.23830000000000001</v>
      </c>
      <c r="N77" s="3">
        <v>1</v>
      </c>
      <c r="O77" s="4">
        <f t="shared" si="5"/>
        <v>6.1804697156983925E-4</v>
      </c>
      <c r="P77" s="4">
        <v>0.24349999999999999</v>
      </c>
    </row>
    <row r="78" spans="1:16" s="8" customFormat="1" x14ac:dyDescent="0.25">
      <c r="A78" s="8" t="s">
        <v>289</v>
      </c>
      <c r="B78" s="8" t="s">
        <v>290</v>
      </c>
      <c r="C78" s="8" t="s">
        <v>28</v>
      </c>
      <c r="D78" s="8" t="s">
        <v>29</v>
      </c>
      <c r="E78" s="8" t="s">
        <v>94</v>
      </c>
      <c r="F78" s="8" t="s">
        <v>448</v>
      </c>
      <c r="G78" s="8" t="s">
        <v>479</v>
      </c>
      <c r="H78" s="8">
        <v>10192</v>
      </c>
      <c r="I78" s="8">
        <v>1</v>
      </c>
      <c r="J78" s="8">
        <v>3184</v>
      </c>
      <c r="K78" s="10">
        <v>0</v>
      </c>
      <c r="L78" s="11">
        <f t="shared" si="4"/>
        <v>0</v>
      </c>
      <c r="M78" s="11">
        <v>0.27010000000000001</v>
      </c>
      <c r="N78" s="10">
        <v>0</v>
      </c>
      <c r="O78" s="11">
        <f t="shared" si="5"/>
        <v>0</v>
      </c>
      <c r="P78" s="11">
        <v>0.3337</v>
      </c>
    </row>
    <row r="79" spans="1:16" s="8" customFormat="1" x14ac:dyDescent="0.25">
      <c r="A79" s="8" t="s">
        <v>124</v>
      </c>
      <c r="B79" s="8" t="s">
        <v>125</v>
      </c>
      <c r="C79" s="8" t="s">
        <v>2</v>
      </c>
      <c r="D79" s="8" t="s">
        <v>3</v>
      </c>
      <c r="E79" s="8" t="s">
        <v>90</v>
      </c>
      <c r="F79" s="8" t="s">
        <v>91</v>
      </c>
      <c r="G79" s="8" t="s">
        <v>480</v>
      </c>
      <c r="H79" s="8">
        <v>10207</v>
      </c>
      <c r="I79" s="8">
        <v>6</v>
      </c>
      <c r="J79" s="8">
        <v>3306</v>
      </c>
      <c r="K79" s="10">
        <v>3</v>
      </c>
      <c r="L79" s="11">
        <f t="shared" si="4"/>
        <v>1.854140914709518E-3</v>
      </c>
      <c r="M79" s="11">
        <v>0.23630000000000001</v>
      </c>
      <c r="N79" s="10">
        <v>3</v>
      </c>
      <c r="O79" s="11">
        <f t="shared" si="5"/>
        <v>1.854140914709518E-3</v>
      </c>
      <c r="P79" s="11">
        <v>0.25640000000000002</v>
      </c>
    </row>
    <row r="80" spans="1:16" s="8" customFormat="1" x14ac:dyDescent="0.25">
      <c r="A80" s="8" t="s">
        <v>291</v>
      </c>
      <c r="B80" s="8" t="s">
        <v>292</v>
      </c>
      <c r="C80" s="8" t="s">
        <v>124</v>
      </c>
      <c r="D80" s="8" t="s">
        <v>125</v>
      </c>
      <c r="E80" s="8" t="s">
        <v>293</v>
      </c>
      <c r="F80" s="8" t="s">
        <v>481</v>
      </c>
      <c r="G80" s="8" t="s">
        <v>414</v>
      </c>
      <c r="H80" s="8">
        <v>10201</v>
      </c>
      <c r="I80" s="8">
        <v>4</v>
      </c>
      <c r="J80" s="8">
        <v>3150</v>
      </c>
      <c r="K80" s="10">
        <v>4</v>
      </c>
      <c r="L80" s="11">
        <f t="shared" si="4"/>
        <v>2.472187886279357E-3</v>
      </c>
      <c r="M80" s="11">
        <v>0.24640000000000001</v>
      </c>
      <c r="N80" s="10">
        <v>0</v>
      </c>
      <c r="O80" s="11">
        <f t="shared" si="5"/>
        <v>0</v>
      </c>
      <c r="P80" s="11">
        <v>0.2472</v>
      </c>
    </row>
    <row r="81" spans="1:16" x14ac:dyDescent="0.25">
      <c r="A81" t="s">
        <v>294</v>
      </c>
      <c r="B81" t="s">
        <v>295</v>
      </c>
      <c r="C81" t="s">
        <v>58</v>
      </c>
      <c r="D81" t="s">
        <v>59</v>
      </c>
      <c r="E81" t="s">
        <v>296</v>
      </c>
      <c r="F81" t="s">
        <v>297</v>
      </c>
      <c r="G81" t="s">
        <v>414</v>
      </c>
      <c r="H81">
        <v>10186</v>
      </c>
      <c r="I81">
        <v>7</v>
      </c>
      <c r="J81">
        <v>3630</v>
      </c>
      <c r="K81" s="3">
        <v>1</v>
      </c>
      <c r="L81" s="4">
        <f t="shared" si="4"/>
        <v>6.1804697156983925E-4</v>
      </c>
      <c r="M81" s="4">
        <v>0.27779999999999999</v>
      </c>
      <c r="N81" s="3">
        <v>2</v>
      </c>
      <c r="O81" s="4">
        <f t="shared" si="5"/>
        <v>1.2360939431396785E-3</v>
      </c>
      <c r="P81" s="4">
        <v>0.27060000000000001</v>
      </c>
    </row>
    <row r="82" spans="1:16" x14ac:dyDescent="0.25">
      <c r="A82" t="s">
        <v>298</v>
      </c>
      <c r="B82" t="s">
        <v>299</v>
      </c>
      <c r="C82" t="s">
        <v>180</v>
      </c>
      <c r="D82" t="s">
        <v>461</v>
      </c>
      <c r="E82" t="s">
        <v>300</v>
      </c>
      <c r="F82" t="s">
        <v>301</v>
      </c>
      <c r="G82" t="s">
        <v>414</v>
      </c>
      <c r="H82">
        <v>10202</v>
      </c>
      <c r="I82">
        <v>3</v>
      </c>
      <c r="J82">
        <v>3680</v>
      </c>
      <c r="K82" s="3">
        <v>0</v>
      </c>
      <c r="L82" s="4">
        <f t="shared" si="4"/>
        <v>0</v>
      </c>
      <c r="M82" s="4">
        <v>0.24390000000000001</v>
      </c>
      <c r="N82" s="3">
        <v>1</v>
      </c>
      <c r="O82" s="4">
        <f t="shared" si="5"/>
        <v>6.1804697156983925E-4</v>
      </c>
      <c r="P82" s="4">
        <v>0.2681</v>
      </c>
    </row>
    <row r="83" spans="1:16" x14ac:dyDescent="0.25">
      <c r="A83" t="s">
        <v>302</v>
      </c>
      <c r="B83" t="s">
        <v>303</v>
      </c>
      <c r="C83" t="s">
        <v>31</v>
      </c>
      <c r="D83" t="s">
        <v>32</v>
      </c>
      <c r="E83" t="s">
        <v>304</v>
      </c>
      <c r="F83" t="s">
        <v>305</v>
      </c>
      <c r="G83" t="s">
        <v>414</v>
      </c>
      <c r="H83">
        <v>10207</v>
      </c>
      <c r="I83">
        <v>3</v>
      </c>
      <c r="J83">
        <v>3419</v>
      </c>
      <c r="K83" s="3">
        <v>0</v>
      </c>
      <c r="L83" s="4">
        <f t="shared" si="4"/>
        <v>0</v>
      </c>
      <c r="M83" s="4">
        <v>0.25800000000000001</v>
      </c>
      <c r="N83" s="3">
        <v>3</v>
      </c>
      <c r="O83" s="4">
        <f t="shared" si="5"/>
        <v>1.854140914709518E-3</v>
      </c>
      <c r="P83" s="4">
        <v>0.26390000000000002</v>
      </c>
    </row>
    <row r="84" spans="1:16" x14ac:dyDescent="0.25">
      <c r="A84" t="s">
        <v>306</v>
      </c>
      <c r="B84" t="s">
        <v>307</v>
      </c>
      <c r="C84" t="s">
        <v>58</v>
      </c>
      <c r="D84" t="s">
        <v>59</v>
      </c>
      <c r="E84" t="s">
        <v>60</v>
      </c>
      <c r="F84" t="s">
        <v>61</v>
      </c>
      <c r="G84" t="s">
        <v>414</v>
      </c>
      <c r="H84">
        <v>10207</v>
      </c>
      <c r="I84">
        <v>0</v>
      </c>
      <c r="J84">
        <v>4287</v>
      </c>
      <c r="K84" s="3">
        <v>0</v>
      </c>
      <c r="L84" s="4">
        <f t="shared" si="4"/>
        <v>0</v>
      </c>
      <c r="M84" s="4">
        <v>0.29559999999999997</v>
      </c>
      <c r="N84" s="3">
        <v>0</v>
      </c>
      <c r="O84" s="4">
        <f t="shared" si="5"/>
        <v>0</v>
      </c>
      <c r="P84" s="4">
        <v>0.27339999999999998</v>
      </c>
    </row>
    <row r="85" spans="1:16" x14ac:dyDescent="0.25">
      <c r="A85" t="s">
        <v>308</v>
      </c>
      <c r="B85" t="s">
        <v>309</v>
      </c>
      <c r="C85" t="s">
        <v>304</v>
      </c>
      <c r="D85" t="s">
        <v>305</v>
      </c>
      <c r="E85" t="s">
        <v>310</v>
      </c>
      <c r="F85" t="s">
        <v>311</v>
      </c>
      <c r="G85" t="s">
        <v>414</v>
      </c>
      <c r="H85">
        <v>10207</v>
      </c>
      <c r="I85">
        <v>3</v>
      </c>
      <c r="J85">
        <v>3518</v>
      </c>
      <c r="K85" s="3">
        <v>1</v>
      </c>
      <c r="L85" s="4">
        <f t="shared" si="4"/>
        <v>6.1804697156983925E-4</v>
      </c>
      <c r="M85" s="4">
        <v>0.25480000000000003</v>
      </c>
      <c r="N85" s="3">
        <v>1</v>
      </c>
      <c r="O85" s="4">
        <f t="shared" si="5"/>
        <v>6.1804697156983925E-4</v>
      </c>
      <c r="P85" s="4">
        <v>0.26619999999999999</v>
      </c>
    </row>
    <row r="86" spans="1:16" x14ac:dyDescent="0.25">
      <c r="A86" t="s">
        <v>312</v>
      </c>
      <c r="B86" t="s">
        <v>313</v>
      </c>
      <c r="C86" t="s">
        <v>80</v>
      </c>
      <c r="D86" t="s">
        <v>81</v>
      </c>
      <c r="E86" t="s">
        <v>224</v>
      </c>
      <c r="F86" t="s">
        <v>225</v>
      </c>
      <c r="G86" t="s">
        <v>414</v>
      </c>
      <c r="H86">
        <v>10207</v>
      </c>
      <c r="I86">
        <v>2</v>
      </c>
      <c r="J86">
        <v>3775</v>
      </c>
      <c r="K86" s="3">
        <v>1</v>
      </c>
      <c r="L86" s="4">
        <f t="shared" si="4"/>
        <v>6.1804697156983925E-4</v>
      </c>
      <c r="M86" s="4">
        <v>0.25700000000000001</v>
      </c>
      <c r="N86" s="3">
        <v>1</v>
      </c>
      <c r="O86" s="4">
        <f t="shared" si="5"/>
        <v>6.1804697156983925E-4</v>
      </c>
      <c r="P86" s="4">
        <v>0.23719999999999999</v>
      </c>
    </row>
    <row r="87" spans="1:16" x14ac:dyDescent="0.25">
      <c r="A87" t="s">
        <v>314</v>
      </c>
      <c r="B87" t="s">
        <v>315</v>
      </c>
      <c r="C87" t="s">
        <v>222</v>
      </c>
      <c r="D87" t="s">
        <v>223</v>
      </c>
      <c r="E87" t="s">
        <v>228</v>
      </c>
      <c r="F87" t="s">
        <v>229</v>
      </c>
      <c r="G87" t="s">
        <v>414</v>
      </c>
      <c r="H87">
        <v>10205</v>
      </c>
      <c r="I87">
        <v>1</v>
      </c>
      <c r="J87">
        <v>3979</v>
      </c>
      <c r="K87" s="3">
        <v>1</v>
      </c>
      <c r="L87" s="4">
        <f t="shared" si="4"/>
        <v>6.1804697156983925E-4</v>
      </c>
      <c r="M87" s="4">
        <v>0.27710000000000001</v>
      </c>
      <c r="N87" s="3">
        <v>0</v>
      </c>
      <c r="O87" s="4">
        <f t="shared" si="5"/>
        <v>0</v>
      </c>
      <c r="P87" s="4">
        <v>0.25040000000000001</v>
      </c>
    </row>
    <row r="88" spans="1:16" x14ac:dyDescent="0.25">
      <c r="A88" t="s">
        <v>316</v>
      </c>
      <c r="B88" t="s">
        <v>317</v>
      </c>
      <c r="C88" t="s">
        <v>234</v>
      </c>
      <c r="D88" t="s">
        <v>235</v>
      </c>
      <c r="E88" t="s">
        <v>92</v>
      </c>
      <c r="F88" t="s">
        <v>93</v>
      </c>
      <c r="G88" t="s">
        <v>414</v>
      </c>
      <c r="H88">
        <v>10203</v>
      </c>
      <c r="I88">
        <v>4</v>
      </c>
      <c r="J88">
        <v>3587</v>
      </c>
      <c r="K88" s="3">
        <v>3</v>
      </c>
      <c r="L88" s="4">
        <f t="shared" si="4"/>
        <v>1.854140914709518E-3</v>
      </c>
      <c r="M88" s="4">
        <v>0.27289999999999998</v>
      </c>
      <c r="N88" s="3">
        <v>5</v>
      </c>
      <c r="O88" s="4">
        <f t="shared" si="5"/>
        <v>3.0902348578491965E-3</v>
      </c>
      <c r="P88" s="4">
        <v>0.26490000000000002</v>
      </c>
    </row>
    <row r="89" spans="1:16" x14ac:dyDescent="0.25">
      <c r="A89" t="s">
        <v>318</v>
      </c>
      <c r="B89" t="s">
        <v>319</v>
      </c>
      <c r="C89" t="s">
        <v>170</v>
      </c>
      <c r="D89" t="s">
        <v>171</v>
      </c>
      <c r="E89" t="s">
        <v>320</v>
      </c>
      <c r="F89" t="s">
        <v>321</v>
      </c>
      <c r="G89" t="s">
        <v>414</v>
      </c>
      <c r="H89">
        <v>10186</v>
      </c>
      <c r="I89">
        <v>6</v>
      </c>
      <c r="J89">
        <v>3308</v>
      </c>
      <c r="K89" s="3">
        <v>1</v>
      </c>
      <c r="L89" s="4">
        <f t="shared" si="4"/>
        <v>6.1804697156983925E-4</v>
      </c>
      <c r="M89" s="4">
        <v>0.2329</v>
      </c>
      <c r="N89" s="3">
        <v>4</v>
      </c>
      <c r="O89" s="4">
        <f t="shared" si="5"/>
        <v>2.472187886279357E-3</v>
      </c>
      <c r="P89" s="4">
        <v>0.2334</v>
      </c>
    </row>
    <row r="90" spans="1:16" s="8" customFormat="1" x14ac:dyDescent="0.25">
      <c r="A90" s="8" t="s">
        <v>322</v>
      </c>
      <c r="B90" s="8" t="s">
        <v>323</v>
      </c>
      <c r="C90" s="8" t="s">
        <v>46</v>
      </c>
      <c r="D90" s="8" t="s">
        <v>47</v>
      </c>
      <c r="E90" s="8" t="s">
        <v>40</v>
      </c>
      <c r="F90" s="8" t="s">
        <v>41</v>
      </c>
      <c r="G90" s="8" t="s">
        <v>482</v>
      </c>
      <c r="H90" s="8">
        <v>10207</v>
      </c>
      <c r="I90" s="8">
        <v>4</v>
      </c>
      <c r="J90" s="8">
        <v>3476</v>
      </c>
      <c r="K90" s="10">
        <v>1</v>
      </c>
      <c r="L90" s="11">
        <f t="shared" si="4"/>
        <v>6.1804697156983925E-4</v>
      </c>
      <c r="M90" s="11">
        <v>0.24909999999999999</v>
      </c>
      <c r="N90" s="10">
        <v>2</v>
      </c>
      <c r="O90" s="11">
        <f t="shared" si="5"/>
        <v>1.2360939431396785E-3</v>
      </c>
      <c r="P90" s="11">
        <v>0.23369999999999999</v>
      </c>
    </row>
    <row r="91" spans="1:16" x14ac:dyDescent="0.25">
      <c r="A91" t="s">
        <v>324</v>
      </c>
      <c r="B91" t="s">
        <v>325</v>
      </c>
      <c r="C91" t="s">
        <v>60</v>
      </c>
      <c r="D91" t="s">
        <v>61</v>
      </c>
      <c r="E91" t="s">
        <v>216</v>
      </c>
      <c r="F91" t="s">
        <v>217</v>
      </c>
      <c r="G91" t="s">
        <v>414</v>
      </c>
      <c r="H91">
        <v>10207</v>
      </c>
      <c r="I91">
        <v>2</v>
      </c>
      <c r="J91">
        <v>3613</v>
      </c>
      <c r="K91" s="3">
        <v>1</v>
      </c>
      <c r="L91" s="4">
        <f t="shared" si="4"/>
        <v>6.1804697156983925E-4</v>
      </c>
      <c r="M91" s="4">
        <v>0.26840000000000003</v>
      </c>
      <c r="N91" s="3">
        <v>1</v>
      </c>
      <c r="O91" s="4">
        <f t="shared" si="5"/>
        <v>6.1804697156983925E-4</v>
      </c>
      <c r="P91" s="4">
        <v>0.23050000000000001</v>
      </c>
    </row>
    <row r="92" spans="1:16" x14ac:dyDescent="0.25">
      <c r="A92" t="s">
        <v>326</v>
      </c>
      <c r="B92" t="s">
        <v>327</v>
      </c>
      <c r="C92" t="s">
        <v>2</v>
      </c>
      <c r="D92" t="s">
        <v>3</v>
      </c>
      <c r="E92" t="s">
        <v>328</v>
      </c>
      <c r="F92" t="s">
        <v>329</v>
      </c>
      <c r="G92" t="s">
        <v>414</v>
      </c>
      <c r="H92">
        <v>10205</v>
      </c>
      <c r="I92">
        <v>2</v>
      </c>
      <c r="J92">
        <v>3377</v>
      </c>
      <c r="K92" s="3">
        <v>2</v>
      </c>
      <c r="L92" s="4">
        <f t="shared" si="4"/>
        <v>1.2360939431396785E-3</v>
      </c>
      <c r="M92" s="4">
        <v>0.24099999999999999</v>
      </c>
      <c r="N92" s="3">
        <v>0</v>
      </c>
      <c r="O92" s="4">
        <f t="shared" si="5"/>
        <v>0</v>
      </c>
      <c r="P92" s="4">
        <v>0.2321</v>
      </c>
    </row>
    <row r="93" spans="1:16" s="8" customFormat="1" x14ac:dyDescent="0.25">
      <c r="A93" s="8" t="s">
        <v>330</v>
      </c>
      <c r="B93" s="8" t="s">
        <v>331</v>
      </c>
      <c r="C93" s="8" t="s">
        <v>332</v>
      </c>
      <c r="D93" s="8" t="s">
        <v>333</v>
      </c>
      <c r="E93" s="8" t="s">
        <v>334</v>
      </c>
      <c r="F93" s="8" t="s">
        <v>335</v>
      </c>
      <c r="G93" s="8" t="s">
        <v>483</v>
      </c>
      <c r="H93" s="8">
        <v>10207</v>
      </c>
      <c r="I93" s="8">
        <v>6</v>
      </c>
      <c r="J93" s="8">
        <v>3307</v>
      </c>
      <c r="K93" s="10">
        <v>3</v>
      </c>
      <c r="L93" s="11">
        <f t="shared" si="4"/>
        <v>1.854140914709518E-3</v>
      </c>
      <c r="M93" s="11">
        <v>0.2447</v>
      </c>
      <c r="N93" s="10">
        <v>1</v>
      </c>
      <c r="O93" s="11">
        <f t="shared" si="5"/>
        <v>6.1804697156983925E-4</v>
      </c>
      <c r="P93" s="11">
        <v>0.26910000000000001</v>
      </c>
    </row>
    <row r="94" spans="1:16" s="8" customFormat="1" x14ac:dyDescent="0.25">
      <c r="A94" s="9" t="s">
        <v>336</v>
      </c>
      <c r="B94" s="8" t="s">
        <v>337</v>
      </c>
      <c r="C94" s="8" t="s">
        <v>257</v>
      </c>
      <c r="D94" s="8" t="s">
        <v>258</v>
      </c>
      <c r="E94" s="8" t="s">
        <v>155</v>
      </c>
      <c r="F94" s="8" t="s">
        <v>434</v>
      </c>
      <c r="H94" s="8">
        <v>10207</v>
      </c>
      <c r="I94" s="8">
        <v>2</v>
      </c>
      <c r="J94" s="8">
        <v>3519</v>
      </c>
      <c r="K94" s="10">
        <v>1</v>
      </c>
      <c r="L94" s="11">
        <f t="shared" si="4"/>
        <v>6.1804697156983925E-4</v>
      </c>
      <c r="M94" s="11">
        <v>0.26369999999999999</v>
      </c>
      <c r="N94" s="10">
        <v>0</v>
      </c>
      <c r="O94" s="11">
        <f t="shared" si="5"/>
        <v>0</v>
      </c>
      <c r="P94" s="11">
        <v>0.2384</v>
      </c>
    </row>
    <row r="95" spans="1:16" x14ac:dyDescent="0.25">
      <c r="A95" t="s">
        <v>338</v>
      </c>
      <c r="B95" t="s">
        <v>339</v>
      </c>
      <c r="C95" t="s">
        <v>340</v>
      </c>
      <c r="D95" t="s">
        <v>341</v>
      </c>
      <c r="E95" t="s">
        <v>342</v>
      </c>
      <c r="F95" t="s">
        <v>343</v>
      </c>
      <c r="G95" t="s">
        <v>414</v>
      </c>
      <c r="H95">
        <v>10204</v>
      </c>
      <c r="I95">
        <v>9</v>
      </c>
      <c r="J95">
        <v>3828</v>
      </c>
      <c r="K95" s="3">
        <v>4</v>
      </c>
      <c r="L95" s="4">
        <f t="shared" si="4"/>
        <v>2.472187886279357E-3</v>
      </c>
      <c r="M95" s="4">
        <v>0.2334</v>
      </c>
      <c r="N95" s="3">
        <v>3</v>
      </c>
      <c r="O95" s="4">
        <f t="shared" si="5"/>
        <v>1.854140914709518E-3</v>
      </c>
      <c r="P95" s="4">
        <v>0.28339999999999999</v>
      </c>
    </row>
    <row r="96" spans="1:16" x14ac:dyDescent="0.25">
      <c r="A96" t="s">
        <v>344</v>
      </c>
      <c r="B96" t="s">
        <v>345</v>
      </c>
      <c r="C96" t="s">
        <v>2</v>
      </c>
      <c r="D96" t="s">
        <v>3</v>
      </c>
      <c r="E96" t="s">
        <v>261</v>
      </c>
      <c r="F96" t="s">
        <v>262</v>
      </c>
      <c r="G96" t="s">
        <v>414</v>
      </c>
      <c r="H96">
        <v>10207</v>
      </c>
      <c r="I96">
        <v>0</v>
      </c>
      <c r="J96">
        <v>3402</v>
      </c>
      <c r="K96" s="3">
        <v>0</v>
      </c>
      <c r="L96" s="4">
        <f t="shared" si="4"/>
        <v>0</v>
      </c>
      <c r="M96" s="4">
        <v>0.22900000000000001</v>
      </c>
      <c r="N96" s="3">
        <v>0</v>
      </c>
      <c r="O96" s="4">
        <f t="shared" si="5"/>
        <v>0</v>
      </c>
      <c r="P96" s="4">
        <v>0.25059999999999999</v>
      </c>
    </row>
    <row r="97" spans="1:16" s="8" customFormat="1" x14ac:dyDescent="0.25">
      <c r="A97" s="8" t="s">
        <v>97</v>
      </c>
      <c r="B97" s="8" t="s">
        <v>98</v>
      </c>
      <c r="C97" s="8" t="s">
        <v>212</v>
      </c>
      <c r="D97" s="8" t="s">
        <v>213</v>
      </c>
      <c r="E97" s="8" t="s">
        <v>128</v>
      </c>
      <c r="F97" s="8" t="s">
        <v>129</v>
      </c>
      <c r="G97" s="8" t="s">
        <v>484</v>
      </c>
      <c r="H97" s="8">
        <v>10207</v>
      </c>
      <c r="I97" s="8">
        <v>5</v>
      </c>
      <c r="J97" s="8">
        <v>3444</v>
      </c>
      <c r="K97" s="10">
        <v>3</v>
      </c>
      <c r="L97" s="11">
        <f t="shared" si="4"/>
        <v>1.854140914709518E-3</v>
      </c>
      <c r="M97" s="11">
        <v>0.19570000000000001</v>
      </c>
      <c r="N97" s="10">
        <v>3</v>
      </c>
      <c r="O97" s="11">
        <f t="shared" si="5"/>
        <v>1.854140914709518E-3</v>
      </c>
      <c r="P97" s="11">
        <v>0.2334</v>
      </c>
    </row>
    <row r="98" spans="1:16" s="8" customFormat="1" x14ac:dyDescent="0.25">
      <c r="A98" s="8" t="s">
        <v>346</v>
      </c>
      <c r="B98" s="8" t="s">
        <v>347</v>
      </c>
      <c r="C98" s="8" t="s">
        <v>60</v>
      </c>
      <c r="D98" s="8" t="s">
        <v>61</v>
      </c>
      <c r="E98" s="8" t="s">
        <v>216</v>
      </c>
      <c r="F98" s="8" t="s">
        <v>217</v>
      </c>
      <c r="G98" s="8" t="s">
        <v>457</v>
      </c>
      <c r="H98" s="8">
        <v>10207</v>
      </c>
      <c r="I98" s="8">
        <v>2</v>
      </c>
      <c r="J98" s="8">
        <v>3581</v>
      </c>
      <c r="K98" s="10">
        <v>1</v>
      </c>
      <c r="L98" s="11">
        <f t="shared" si="4"/>
        <v>6.1804697156983925E-4</v>
      </c>
      <c r="M98" s="11">
        <v>0.20660000000000001</v>
      </c>
      <c r="N98" s="10">
        <v>1</v>
      </c>
      <c r="O98" s="11">
        <f t="shared" si="5"/>
        <v>6.1804697156983925E-4</v>
      </c>
      <c r="P98" s="11">
        <v>0.25119999999999998</v>
      </c>
    </row>
    <row r="99" spans="1:16" s="8" customFormat="1" x14ac:dyDescent="0.25">
      <c r="A99" s="8" t="s">
        <v>348</v>
      </c>
      <c r="B99" s="8" t="s">
        <v>349</v>
      </c>
      <c r="C99" s="8" t="s">
        <v>332</v>
      </c>
      <c r="D99" s="8" t="s">
        <v>333</v>
      </c>
      <c r="E99" s="8" t="s">
        <v>350</v>
      </c>
      <c r="F99" s="8" t="s">
        <v>351</v>
      </c>
      <c r="G99" s="8" t="s">
        <v>414</v>
      </c>
      <c r="H99" s="8">
        <v>10205</v>
      </c>
      <c r="I99" s="8">
        <v>4</v>
      </c>
      <c r="J99" s="8">
        <v>3265</v>
      </c>
      <c r="K99" s="10">
        <v>3</v>
      </c>
      <c r="L99" s="11">
        <f t="shared" si="4"/>
        <v>1.854140914709518E-3</v>
      </c>
      <c r="M99" s="11">
        <v>0.28339999999999999</v>
      </c>
      <c r="N99" s="10">
        <v>0</v>
      </c>
      <c r="O99" s="11">
        <f t="shared" si="5"/>
        <v>0</v>
      </c>
      <c r="P99" s="11">
        <v>0.25719999999999998</v>
      </c>
    </row>
    <row r="100" spans="1:16" s="8" customFormat="1" x14ac:dyDescent="0.25">
      <c r="A100" s="8" t="s">
        <v>352</v>
      </c>
      <c r="B100" s="8" t="s">
        <v>353</v>
      </c>
      <c r="C100" s="8" t="s">
        <v>115</v>
      </c>
      <c r="D100" s="8" t="s">
        <v>116</v>
      </c>
      <c r="E100" s="8" t="s">
        <v>60</v>
      </c>
      <c r="F100" s="8" t="s">
        <v>61</v>
      </c>
      <c r="G100" s="8" t="s">
        <v>414</v>
      </c>
      <c r="H100" s="8">
        <v>10204</v>
      </c>
      <c r="I100" s="8">
        <v>6</v>
      </c>
      <c r="J100" s="8">
        <v>3559</v>
      </c>
      <c r="K100" s="10">
        <v>5</v>
      </c>
      <c r="L100" s="11">
        <f t="shared" ref="L100:L121" si="6">+K100/1618</f>
        <v>3.0902348578491965E-3</v>
      </c>
      <c r="M100" s="11">
        <v>0.2432</v>
      </c>
      <c r="N100" s="10">
        <v>1</v>
      </c>
      <c r="O100" s="11">
        <f t="shared" ref="O100:O121" si="7">+N100/1618</f>
        <v>6.1804697156983925E-4</v>
      </c>
      <c r="P100" s="11">
        <v>0.2487</v>
      </c>
    </row>
    <row r="101" spans="1:16" s="8" customFormat="1" x14ac:dyDescent="0.25">
      <c r="A101" s="8" t="s">
        <v>354</v>
      </c>
      <c r="B101" s="8" t="s">
        <v>485</v>
      </c>
      <c r="C101" s="8" t="s">
        <v>355</v>
      </c>
      <c r="D101" s="8" t="s">
        <v>356</v>
      </c>
      <c r="E101" s="8" t="s">
        <v>18</v>
      </c>
      <c r="F101" s="8" t="s">
        <v>19</v>
      </c>
      <c r="G101" s="8" t="s">
        <v>288</v>
      </c>
      <c r="H101" s="8">
        <v>10206</v>
      </c>
      <c r="I101" s="8">
        <v>4</v>
      </c>
      <c r="J101" s="8">
        <v>3374</v>
      </c>
      <c r="K101" s="10">
        <v>3</v>
      </c>
      <c r="L101" s="11">
        <f t="shared" si="6"/>
        <v>1.854140914709518E-3</v>
      </c>
      <c r="M101" s="11">
        <v>0.20749999999999999</v>
      </c>
      <c r="N101" s="10">
        <v>0</v>
      </c>
      <c r="O101" s="11">
        <f t="shared" si="7"/>
        <v>0</v>
      </c>
      <c r="P101" s="11">
        <v>0.25380000000000003</v>
      </c>
    </row>
    <row r="102" spans="1:16" x14ac:dyDescent="0.25">
      <c r="A102" t="s">
        <v>357</v>
      </c>
      <c r="B102" t="s">
        <v>358</v>
      </c>
      <c r="C102" t="s">
        <v>31</v>
      </c>
      <c r="D102" t="s">
        <v>32</v>
      </c>
      <c r="E102" t="s">
        <v>359</v>
      </c>
      <c r="F102" t="s">
        <v>360</v>
      </c>
      <c r="G102" t="s">
        <v>414</v>
      </c>
      <c r="H102">
        <v>10202</v>
      </c>
      <c r="I102">
        <v>1</v>
      </c>
      <c r="J102">
        <v>3456</v>
      </c>
      <c r="K102" s="3">
        <v>0</v>
      </c>
      <c r="L102" s="4">
        <f t="shared" si="6"/>
        <v>0</v>
      </c>
      <c r="M102" s="4">
        <v>0.2298</v>
      </c>
      <c r="N102" s="3">
        <v>0</v>
      </c>
      <c r="O102" s="4">
        <f t="shared" si="7"/>
        <v>0</v>
      </c>
      <c r="P102" s="4">
        <v>0.2276</v>
      </c>
    </row>
    <row r="103" spans="1:16" s="8" customFormat="1" x14ac:dyDescent="0.25">
      <c r="A103" s="8" t="s">
        <v>80</v>
      </c>
      <c r="B103" s="8" t="s">
        <v>81</v>
      </c>
      <c r="C103" s="8" t="s">
        <v>158</v>
      </c>
      <c r="D103" s="8" t="s">
        <v>159</v>
      </c>
      <c r="E103" s="8" t="s">
        <v>242</v>
      </c>
      <c r="F103" s="8" t="s">
        <v>243</v>
      </c>
      <c r="G103" s="8" t="s">
        <v>470</v>
      </c>
      <c r="H103" s="8">
        <v>10201</v>
      </c>
      <c r="I103" s="8">
        <v>1</v>
      </c>
      <c r="J103" s="8">
        <v>3367</v>
      </c>
      <c r="K103" s="10">
        <v>0</v>
      </c>
      <c r="L103" s="11">
        <f t="shared" si="6"/>
        <v>0</v>
      </c>
      <c r="M103" s="11">
        <v>0.25719999999999998</v>
      </c>
      <c r="N103" s="10">
        <v>0</v>
      </c>
      <c r="O103" s="11">
        <f t="shared" si="7"/>
        <v>0</v>
      </c>
      <c r="P103" s="11">
        <v>0.21490000000000001</v>
      </c>
    </row>
    <row r="104" spans="1:16" s="8" customFormat="1" x14ac:dyDescent="0.25">
      <c r="A104" s="13" t="s">
        <v>361</v>
      </c>
      <c r="B104" s="13" t="s">
        <v>486</v>
      </c>
      <c r="C104" s="13" t="s">
        <v>362</v>
      </c>
      <c r="D104" s="13" t="s">
        <v>363</v>
      </c>
      <c r="E104" s="13" t="s">
        <v>362</v>
      </c>
      <c r="F104" s="13" t="s">
        <v>363</v>
      </c>
      <c r="G104" s="13" t="s">
        <v>487</v>
      </c>
      <c r="H104" s="8">
        <v>10207</v>
      </c>
      <c r="I104" s="8">
        <v>0</v>
      </c>
      <c r="J104" s="8">
        <v>5114</v>
      </c>
      <c r="K104" s="10">
        <v>0</v>
      </c>
      <c r="L104" s="11">
        <f t="shared" si="6"/>
        <v>0</v>
      </c>
      <c r="M104" s="11">
        <v>0.3337</v>
      </c>
      <c r="N104" s="10">
        <v>2</v>
      </c>
      <c r="O104" s="11">
        <f t="shared" si="7"/>
        <v>1.2360939431396785E-3</v>
      </c>
      <c r="P104" s="11">
        <v>0.28920000000000001</v>
      </c>
    </row>
    <row r="105" spans="1:16" s="8" customFormat="1" x14ac:dyDescent="0.25">
      <c r="A105" s="8" t="s">
        <v>364</v>
      </c>
      <c r="B105" s="8" t="s">
        <v>365</v>
      </c>
      <c r="C105" s="8" t="s">
        <v>124</v>
      </c>
      <c r="D105" s="8" t="s">
        <v>125</v>
      </c>
      <c r="E105" s="8" t="s">
        <v>40</v>
      </c>
      <c r="F105" s="8" t="s">
        <v>41</v>
      </c>
      <c r="G105" s="8" t="s">
        <v>482</v>
      </c>
      <c r="H105" s="8">
        <v>10205</v>
      </c>
      <c r="I105" s="8">
        <v>6</v>
      </c>
      <c r="J105" s="8">
        <v>3466</v>
      </c>
      <c r="K105" s="10">
        <v>2</v>
      </c>
      <c r="L105" s="11">
        <f t="shared" si="6"/>
        <v>1.2360939431396785E-3</v>
      </c>
      <c r="M105" s="11">
        <v>0.25430000000000003</v>
      </c>
      <c r="N105" s="10">
        <v>3</v>
      </c>
      <c r="O105" s="11">
        <f t="shared" si="7"/>
        <v>1.854140914709518E-3</v>
      </c>
      <c r="P105" s="11">
        <v>0.26229999999999998</v>
      </c>
    </row>
    <row r="106" spans="1:16" s="8" customFormat="1" x14ac:dyDescent="0.25">
      <c r="A106" s="8" t="s">
        <v>101</v>
      </c>
      <c r="B106" s="8" t="s">
        <v>102</v>
      </c>
      <c r="C106" s="8" t="s">
        <v>366</v>
      </c>
      <c r="D106" s="8" t="s">
        <v>367</v>
      </c>
      <c r="E106" s="8" t="s">
        <v>279</v>
      </c>
      <c r="F106" s="8" t="s">
        <v>280</v>
      </c>
      <c r="G106" s="8" t="s">
        <v>475</v>
      </c>
      <c r="H106" s="8">
        <v>10207</v>
      </c>
      <c r="I106" s="8">
        <v>3</v>
      </c>
      <c r="J106" s="8">
        <v>3711</v>
      </c>
      <c r="K106" s="10">
        <v>1</v>
      </c>
      <c r="L106" s="11">
        <f t="shared" si="6"/>
        <v>6.1804697156983925E-4</v>
      </c>
      <c r="M106" s="11">
        <v>0.25650000000000001</v>
      </c>
      <c r="N106" s="10">
        <v>1</v>
      </c>
      <c r="O106" s="11">
        <f t="shared" si="7"/>
        <v>6.1804697156983925E-4</v>
      </c>
      <c r="P106" s="11">
        <v>0.27200000000000002</v>
      </c>
    </row>
    <row r="107" spans="1:16" x14ac:dyDescent="0.25">
      <c r="A107" t="s">
        <v>368</v>
      </c>
      <c r="B107" t="s">
        <v>369</v>
      </c>
      <c r="C107" t="s">
        <v>370</v>
      </c>
      <c r="D107" t="s">
        <v>371</v>
      </c>
      <c r="E107" t="s">
        <v>40</v>
      </c>
      <c r="F107" t="s">
        <v>41</v>
      </c>
      <c r="G107" t="s">
        <v>414</v>
      </c>
      <c r="H107">
        <v>10207</v>
      </c>
      <c r="I107">
        <v>2</v>
      </c>
      <c r="J107">
        <v>3413</v>
      </c>
      <c r="K107" s="3">
        <v>0</v>
      </c>
      <c r="L107" s="4">
        <f t="shared" si="6"/>
        <v>0</v>
      </c>
      <c r="M107" s="4">
        <v>0.25659999999999999</v>
      </c>
      <c r="N107" s="3">
        <v>0</v>
      </c>
      <c r="O107" s="4">
        <f t="shared" si="7"/>
        <v>0</v>
      </c>
      <c r="P107" s="4">
        <v>0.2893</v>
      </c>
    </row>
    <row r="108" spans="1:16" s="8" customFormat="1" x14ac:dyDescent="0.25">
      <c r="A108" s="8" t="s">
        <v>372</v>
      </c>
      <c r="B108" s="8" t="s">
        <v>373</v>
      </c>
      <c r="C108" s="8" t="s">
        <v>236</v>
      </c>
      <c r="D108" s="8" t="s">
        <v>237</v>
      </c>
      <c r="E108" s="8" t="s">
        <v>261</v>
      </c>
      <c r="F108" s="8" t="s">
        <v>262</v>
      </c>
      <c r="G108" s="8" t="s">
        <v>492</v>
      </c>
      <c r="H108" s="8">
        <v>10207</v>
      </c>
      <c r="I108" s="8">
        <v>5</v>
      </c>
      <c r="J108" s="8">
        <v>3229</v>
      </c>
      <c r="K108" s="10">
        <v>2</v>
      </c>
      <c r="L108" s="11">
        <f t="shared" si="6"/>
        <v>1.2360939431396785E-3</v>
      </c>
      <c r="M108" s="11">
        <v>0.27779999999999999</v>
      </c>
      <c r="N108" s="10">
        <v>0</v>
      </c>
      <c r="O108" s="11">
        <f t="shared" si="7"/>
        <v>0</v>
      </c>
      <c r="P108" s="11">
        <v>0.23080000000000001</v>
      </c>
    </row>
    <row r="109" spans="1:16" s="8" customFormat="1" x14ac:dyDescent="0.25">
      <c r="A109" s="8" t="s">
        <v>374</v>
      </c>
      <c r="B109" s="8" t="s">
        <v>375</v>
      </c>
      <c r="C109" s="8" t="s">
        <v>376</v>
      </c>
      <c r="D109" s="8" t="s">
        <v>488</v>
      </c>
      <c r="E109" s="8" t="s">
        <v>377</v>
      </c>
      <c r="F109" s="8" t="s">
        <v>433</v>
      </c>
      <c r="G109" s="8" t="s">
        <v>438</v>
      </c>
      <c r="H109" s="8">
        <v>10203</v>
      </c>
      <c r="I109" s="8">
        <v>0</v>
      </c>
      <c r="J109" s="8">
        <v>3626</v>
      </c>
      <c r="K109" s="10">
        <v>0</v>
      </c>
      <c r="L109" s="11">
        <f t="shared" si="6"/>
        <v>0</v>
      </c>
      <c r="M109" s="11">
        <v>0.27979999999999999</v>
      </c>
      <c r="N109" s="10">
        <v>0</v>
      </c>
      <c r="O109" s="11">
        <f t="shared" si="7"/>
        <v>0</v>
      </c>
      <c r="P109" s="11">
        <v>0.2893</v>
      </c>
    </row>
    <row r="110" spans="1:16" s="8" customFormat="1" x14ac:dyDescent="0.25">
      <c r="A110" s="8" t="s">
        <v>378</v>
      </c>
      <c r="B110" s="8" t="s">
        <v>379</v>
      </c>
      <c r="C110" s="8" t="s">
        <v>370</v>
      </c>
      <c r="D110" s="8" t="s">
        <v>371</v>
      </c>
      <c r="E110" s="8" t="s">
        <v>284</v>
      </c>
      <c r="F110" s="8" t="s">
        <v>285</v>
      </c>
      <c r="G110" s="8" t="s">
        <v>490</v>
      </c>
      <c r="H110" s="8">
        <v>10205</v>
      </c>
      <c r="I110" s="8">
        <v>0</v>
      </c>
      <c r="J110" s="8">
        <v>3347</v>
      </c>
      <c r="K110" s="10">
        <v>0</v>
      </c>
      <c r="L110" s="11">
        <f t="shared" si="6"/>
        <v>0</v>
      </c>
      <c r="M110" s="11">
        <v>0.2109</v>
      </c>
      <c r="N110" s="10">
        <v>0</v>
      </c>
      <c r="O110" s="11">
        <f t="shared" si="7"/>
        <v>0</v>
      </c>
      <c r="P110" s="11">
        <v>0.23599999999999999</v>
      </c>
    </row>
    <row r="111" spans="1:16" s="8" customFormat="1" x14ac:dyDescent="0.25">
      <c r="A111" s="9" t="s">
        <v>380</v>
      </c>
      <c r="B111" s="8" t="s">
        <v>429</v>
      </c>
      <c r="C111" s="8" t="s">
        <v>18</v>
      </c>
      <c r="D111" s="8" t="s">
        <v>19</v>
      </c>
      <c r="E111" s="8" t="s">
        <v>155</v>
      </c>
      <c r="F111" s="8" t="s">
        <v>434</v>
      </c>
      <c r="H111" s="8">
        <v>10203</v>
      </c>
      <c r="I111" s="8">
        <v>0</v>
      </c>
      <c r="J111" s="8">
        <v>3094</v>
      </c>
      <c r="K111" s="10">
        <v>0</v>
      </c>
      <c r="L111" s="11">
        <f t="shared" si="6"/>
        <v>0</v>
      </c>
      <c r="M111" s="11">
        <v>0.28260000000000002</v>
      </c>
      <c r="N111" s="10">
        <v>0</v>
      </c>
      <c r="O111" s="11">
        <f t="shared" si="7"/>
        <v>0</v>
      </c>
      <c r="P111" s="11">
        <v>0.2702</v>
      </c>
    </row>
    <row r="112" spans="1:16" s="8" customFormat="1" x14ac:dyDescent="0.25">
      <c r="A112" s="8" t="s">
        <v>381</v>
      </c>
      <c r="B112" s="8" t="s">
        <v>491</v>
      </c>
      <c r="C112" s="8" t="s">
        <v>122</v>
      </c>
      <c r="D112" s="8" t="s">
        <v>452</v>
      </c>
      <c r="E112" s="8" t="s">
        <v>124</v>
      </c>
      <c r="F112" s="8" t="s">
        <v>125</v>
      </c>
      <c r="G112" s="8" t="s">
        <v>489</v>
      </c>
      <c r="H112" s="8">
        <v>10207</v>
      </c>
      <c r="I112" s="8">
        <v>3</v>
      </c>
      <c r="J112" s="8">
        <v>3114</v>
      </c>
      <c r="K112" s="10">
        <v>0</v>
      </c>
      <c r="L112" s="11">
        <f t="shared" si="6"/>
        <v>0</v>
      </c>
      <c r="M112" s="11">
        <v>0.26479999999999998</v>
      </c>
      <c r="N112" s="10">
        <v>1</v>
      </c>
      <c r="O112" s="11">
        <f t="shared" si="7"/>
        <v>6.1804697156983925E-4</v>
      </c>
      <c r="P112" s="11">
        <v>0.27710000000000001</v>
      </c>
    </row>
    <row r="113" spans="1:16" x14ac:dyDescent="0.25">
      <c r="A113" t="s">
        <v>382</v>
      </c>
      <c r="B113" t="s">
        <v>383</v>
      </c>
      <c r="C113" t="s">
        <v>50</v>
      </c>
      <c r="D113" t="s">
        <v>51</v>
      </c>
      <c r="E113" t="s">
        <v>384</v>
      </c>
      <c r="F113" t="s">
        <v>385</v>
      </c>
      <c r="G113" t="s">
        <v>414</v>
      </c>
      <c r="H113">
        <v>10207</v>
      </c>
      <c r="I113">
        <v>2</v>
      </c>
      <c r="J113">
        <v>3791</v>
      </c>
      <c r="K113" s="3">
        <v>2</v>
      </c>
      <c r="L113" s="4">
        <f t="shared" si="6"/>
        <v>1.2360939431396785E-3</v>
      </c>
      <c r="M113" s="4">
        <v>0.27610000000000001</v>
      </c>
      <c r="N113" s="3">
        <v>0</v>
      </c>
      <c r="O113" s="4">
        <f t="shared" si="7"/>
        <v>0</v>
      </c>
      <c r="P113" s="4">
        <v>0.2777</v>
      </c>
    </row>
    <row r="114" spans="1:16" s="8" customFormat="1" x14ac:dyDescent="0.25">
      <c r="A114" s="8" t="s">
        <v>386</v>
      </c>
      <c r="B114" s="8" t="s">
        <v>387</v>
      </c>
      <c r="C114" s="8" t="s">
        <v>370</v>
      </c>
      <c r="D114" s="8" t="s">
        <v>371</v>
      </c>
      <c r="E114" s="8" t="s">
        <v>284</v>
      </c>
      <c r="F114" s="8" t="s">
        <v>285</v>
      </c>
      <c r="G114" s="8" t="s">
        <v>490</v>
      </c>
      <c r="H114" s="8">
        <v>10204</v>
      </c>
      <c r="I114" s="8">
        <v>4</v>
      </c>
      <c r="J114" s="8">
        <v>3546</v>
      </c>
      <c r="K114" s="10">
        <v>1</v>
      </c>
      <c r="L114" s="11">
        <f t="shared" si="6"/>
        <v>6.1804697156983925E-4</v>
      </c>
      <c r="M114" s="11">
        <v>0.25740000000000002</v>
      </c>
      <c r="N114" s="10">
        <v>1</v>
      </c>
      <c r="O114" s="11">
        <f t="shared" si="7"/>
        <v>6.1804697156983925E-4</v>
      </c>
      <c r="P114" s="11">
        <v>0.25190000000000001</v>
      </c>
    </row>
    <row r="115" spans="1:16" x14ac:dyDescent="0.25">
      <c r="A115" t="s">
        <v>388</v>
      </c>
      <c r="B115" t="s">
        <v>432</v>
      </c>
      <c r="C115" t="s">
        <v>28</v>
      </c>
      <c r="D115" t="s">
        <v>29</v>
      </c>
      <c r="E115" t="s">
        <v>18</v>
      </c>
      <c r="F115" t="s">
        <v>19</v>
      </c>
      <c r="G115" s="6" t="s">
        <v>440</v>
      </c>
      <c r="H115">
        <v>10202</v>
      </c>
      <c r="I115">
        <v>2</v>
      </c>
      <c r="J115">
        <v>2721</v>
      </c>
      <c r="K115" s="3">
        <v>0</v>
      </c>
      <c r="L115" s="4">
        <f t="shared" si="6"/>
        <v>0</v>
      </c>
      <c r="M115" s="4">
        <v>0.22489999999999999</v>
      </c>
      <c r="N115" s="3">
        <v>4</v>
      </c>
      <c r="O115" s="4">
        <f t="shared" si="7"/>
        <v>2.472187886279357E-3</v>
      </c>
      <c r="P115" s="4">
        <v>0.25929999999999997</v>
      </c>
    </row>
    <row r="116" spans="1:16" x14ac:dyDescent="0.25">
      <c r="A116" t="s">
        <v>389</v>
      </c>
      <c r="B116" t="s">
        <v>390</v>
      </c>
      <c r="C116" t="s">
        <v>384</v>
      </c>
      <c r="D116" t="s">
        <v>385</v>
      </c>
      <c r="E116" t="s">
        <v>391</v>
      </c>
      <c r="F116" t="s">
        <v>392</v>
      </c>
      <c r="G116" t="s">
        <v>414</v>
      </c>
      <c r="H116">
        <v>10207</v>
      </c>
      <c r="I116">
        <v>2</v>
      </c>
      <c r="J116">
        <v>3385</v>
      </c>
      <c r="K116" s="3">
        <v>1</v>
      </c>
      <c r="L116" s="4">
        <f t="shared" si="6"/>
        <v>6.1804697156983925E-4</v>
      </c>
      <c r="M116" s="4">
        <v>0.23250000000000001</v>
      </c>
      <c r="N116" s="3">
        <v>0</v>
      </c>
      <c r="O116" s="4">
        <f t="shared" si="7"/>
        <v>0</v>
      </c>
      <c r="P116" s="4">
        <v>0.27460000000000001</v>
      </c>
    </row>
    <row r="117" spans="1:16" x14ac:dyDescent="0.25">
      <c r="A117" t="s">
        <v>393</v>
      </c>
      <c r="B117" t="s">
        <v>394</v>
      </c>
      <c r="C117" t="s">
        <v>158</v>
      </c>
      <c r="D117" t="s">
        <v>159</v>
      </c>
      <c r="E117" t="s">
        <v>257</v>
      </c>
      <c r="F117" t="s">
        <v>258</v>
      </c>
      <c r="G117" t="s">
        <v>414</v>
      </c>
      <c r="H117">
        <v>10207</v>
      </c>
      <c r="I117">
        <v>0</v>
      </c>
      <c r="J117">
        <v>3398</v>
      </c>
      <c r="K117" s="3">
        <v>0</v>
      </c>
      <c r="L117" s="4">
        <f t="shared" si="6"/>
        <v>0</v>
      </c>
      <c r="M117" s="4">
        <v>0.25619999999999998</v>
      </c>
      <c r="N117" s="3">
        <v>0</v>
      </c>
      <c r="O117" s="4">
        <f t="shared" si="7"/>
        <v>0</v>
      </c>
      <c r="P117" s="4">
        <v>0.24690000000000001</v>
      </c>
    </row>
    <row r="118" spans="1:16" x14ac:dyDescent="0.25">
      <c r="A118" t="s">
        <v>395</v>
      </c>
      <c r="B118" t="s">
        <v>422</v>
      </c>
      <c r="C118" t="s">
        <v>122</v>
      </c>
      <c r="D118" t="s">
        <v>123</v>
      </c>
      <c r="E118" t="s">
        <v>18</v>
      </c>
      <c r="F118" t="s">
        <v>19</v>
      </c>
      <c r="G118" t="s">
        <v>288</v>
      </c>
      <c r="H118">
        <v>10207</v>
      </c>
      <c r="I118">
        <v>1</v>
      </c>
      <c r="J118">
        <v>3401</v>
      </c>
      <c r="K118" s="3">
        <v>0</v>
      </c>
      <c r="L118" s="4">
        <f t="shared" si="6"/>
        <v>0</v>
      </c>
      <c r="M118" s="4">
        <v>0.30270000000000002</v>
      </c>
      <c r="N118" s="3">
        <v>1</v>
      </c>
      <c r="O118" s="4">
        <f t="shared" si="7"/>
        <v>6.1804697156983925E-4</v>
      </c>
      <c r="P118" s="4">
        <v>0.30680000000000002</v>
      </c>
    </row>
    <row r="119" spans="1:16" x14ac:dyDescent="0.25">
      <c r="A119" s="8" t="s">
        <v>396</v>
      </c>
      <c r="B119" t="s">
        <v>397</v>
      </c>
      <c r="C119" t="s">
        <v>95</v>
      </c>
      <c r="D119" t="s">
        <v>96</v>
      </c>
      <c r="E119" t="s">
        <v>128</v>
      </c>
      <c r="F119" t="s">
        <v>129</v>
      </c>
      <c r="G119" t="s">
        <v>493</v>
      </c>
      <c r="H119">
        <v>10207</v>
      </c>
      <c r="I119">
        <v>2</v>
      </c>
      <c r="J119">
        <v>3755</v>
      </c>
      <c r="K119" s="3">
        <v>0</v>
      </c>
      <c r="L119" s="4">
        <f t="shared" si="6"/>
        <v>0</v>
      </c>
      <c r="M119" s="4">
        <v>0.21490000000000001</v>
      </c>
      <c r="N119" s="3">
        <v>1</v>
      </c>
      <c r="O119" s="4">
        <f t="shared" si="7"/>
        <v>6.1804697156983925E-4</v>
      </c>
      <c r="P119" s="4">
        <v>0.26069999999999999</v>
      </c>
    </row>
    <row r="120" spans="1:16" x14ac:dyDescent="0.25">
      <c r="A120" t="s">
        <v>398</v>
      </c>
      <c r="B120" t="s">
        <v>399</v>
      </c>
      <c r="C120" t="s">
        <v>42</v>
      </c>
      <c r="D120" t="s">
        <v>43</v>
      </c>
      <c r="E120" t="s">
        <v>400</v>
      </c>
      <c r="F120" t="s">
        <v>436</v>
      </c>
      <c r="G120" t="s">
        <v>414</v>
      </c>
      <c r="H120">
        <v>10207</v>
      </c>
      <c r="I120">
        <v>0</v>
      </c>
      <c r="J120">
        <v>3449</v>
      </c>
      <c r="K120" s="3">
        <v>0</v>
      </c>
      <c r="L120" s="4">
        <f t="shared" si="6"/>
        <v>0</v>
      </c>
      <c r="M120" s="4">
        <v>0.27160000000000001</v>
      </c>
      <c r="N120" s="3">
        <v>3</v>
      </c>
      <c r="O120" s="4">
        <f t="shared" si="7"/>
        <v>1.854140914709518E-3</v>
      </c>
      <c r="P120" s="4">
        <v>0.2447</v>
      </c>
    </row>
    <row r="121" spans="1:16" x14ac:dyDescent="0.25">
      <c r="A121" s="8" t="s">
        <v>401</v>
      </c>
      <c r="B121" t="s">
        <v>402</v>
      </c>
      <c r="C121" t="s">
        <v>403</v>
      </c>
      <c r="D121" t="s">
        <v>404</v>
      </c>
      <c r="E121" t="s">
        <v>197</v>
      </c>
      <c r="F121" t="s">
        <v>198</v>
      </c>
      <c r="G121" s="8" t="s">
        <v>494</v>
      </c>
      <c r="H121">
        <v>10206</v>
      </c>
      <c r="I121">
        <v>3</v>
      </c>
      <c r="J121">
        <v>3980</v>
      </c>
      <c r="K121" s="3">
        <v>1</v>
      </c>
      <c r="L121" s="4">
        <f t="shared" si="6"/>
        <v>6.1804697156983925E-4</v>
      </c>
      <c r="M121" s="4">
        <v>0.2366</v>
      </c>
      <c r="N121" s="3">
        <v>2</v>
      </c>
      <c r="O121" s="4">
        <f t="shared" si="7"/>
        <v>1.2360939431396785E-3</v>
      </c>
      <c r="P121" s="4">
        <v>0.2198</v>
      </c>
    </row>
  </sheetData>
  <sortState ref="A2:P119">
    <sortCondition ref="B2:B119"/>
    <sortCondition ref="D2:D119"/>
    <sortCondition ref="F2:F119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Lacombe</dc:creator>
  <cp:lastModifiedBy>Valerie Laucou</cp:lastModifiedBy>
  <dcterms:created xsi:type="dcterms:W3CDTF">2016-08-23T14:05:12Z</dcterms:created>
  <dcterms:modified xsi:type="dcterms:W3CDTF">2017-07-17T11:09:00Z</dcterms:modified>
</cp:coreProperties>
</file>